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rledu-my.sharepoint.com/personal/henry_dixon_alumni_esade_edu/Documents/Term 3/Consulting/ARPOL/"/>
    </mc:Choice>
  </mc:AlternateContent>
  <xr:revisionPtr revIDLastSave="32" documentId="11_8065FAA913CABA645FC91AEE044BDFF5893B2CC7" xr6:coauthVersionLast="47" xr6:coauthVersionMax="47" xr10:uidLastSave="{940BB09F-DCE6-464D-8115-BC32EC54A958}"/>
  <bookViews>
    <workbookView xWindow="-110" yWindow="-110" windowWidth="19420" windowHeight="11500" tabRatio="500" activeTab="1" xr2:uid="{00000000-000D-0000-FFFF-FFFF00000000}"/>
  </bookViews>
  <sheets>
    <sheet name="README" sheetId="1" r:id="rId1"/>
    <sheet name="Assumptions" sheetId="2" r:id="rId2"/>
    <sheet name="Current State" sheetId="3" r:id="rId3"/>
    <sheet name="EU Insource" sheetId="4" r:id="rId4"/>
    <sheet name="China Insource" sheetId="5" r:id="rId5"/>
    <sheet name="TCO Comparison" sheetId="6" r:id="rId6"/>
    <sheet name="Working Capital" sheetId="7" r:id="rId7"/>
    <sheet name="Sensitivity" sheetId="8" r:id="rId8"/>
    <sheet name="Executive Summary" sheetId="9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7" l="1"/>
  <c r="B12" i="7"/>
  <c r="B9" i="7"/>
  <c r="B7" i="7"/>
  <c r="B6" i="7"/>
  <c r="B8" i="7" s="1"/>
  <c r="B10" i="7" s="1"/>
  <c r="B13" i="7" s="1"/>
  <c r="G18" i="5"/>
  <c r="F18" i="5"/>
  <c r="E18" i="5"/>
  <c r="D18" i="5"/>
  <c r="C18" i="5"/>
  <c r="G17" i="5"/>
  <c r="F17" i="5"/>
  <c r="E17" i="5"/>
  <c r="D17" i="5"/>
  <c r="C17" i="5"/>
  <c r="G16" i="5"/>
  <c r="F16" i="5"/>
  <c r="E16" i="5"/>
  <c r="D16" i="5"/>
  <c r="C16" i="5"/>
  <c r="G15" i="5"/>
  <c r="F15" i="5"/>
  <c r="E15" i="5"/>
  <c r="D15" i="5"/>
  <c r="C15" i="5"/>
  <c r="B11" i="5"/>
  <c r="B10" i="5"/>
  <c r="B9" i="5"/>
  <c r="B8" i="5"/>
  <c r="B7" i="5"/>
  <c r="G17" i="4"/>
  <c r="F17" i="4"/>
  <c r="E17" i="4"/>
  <c r="D17" i="4"/>
  <c r="C17" i="4"/>
  <c r="G16" i="4"/>
  <c r="F16" i="4"/>
  <c r="E16" i="4"/>
  <c r="D16" i="4"/>
  <c r="C16" i="4"/>
  <c r="G15" i="4"/>
  <c r="F15" i="4"/>
  <c r="E15" i="4"/>
  <c r="D15" i="4"/>
  <c r="C15" i="4"/>
  <c r="G14" i="4"/>
  <c r="F14" i="4"/>
  <c r="E14" i="4"/>
  <c r="E18" i="4" s="1"/>
  <c r="E20" i="4" s="1"/>
  <c r="E7" i="6" s="1"/>
  <c r="D14" i="4"/>
  <c r="C14" i="4"/>
  <c r="B10" i="4"/>
  <c r="B9" i="4"/>
  <c r="B8" i="4"/>
  <c r="B7" i="4"/>
  <c r="B11" i="4" s="1"/>
  <c r="B9" i="3"/>
  <c r="G8" i="3"/>
  <c r="F8" i="3"/>
  <c r="E8" i="3"/>
  <c r="D8" i="3"/>
  <c r="C8" i="3"/>
  <c r="G7" i="3"/>
  <c r="F7" i="3"/>
  <c r="E7" i="3"/>
  <c r="D7" i="3"/>
  <c r="C7" i="3"/>
  <c r="G6" i="3"/>
  <c r="F6" i="3"/>
  <c r="E6" i="3"/>
  <c r="E9" i="3" s="1"/>
  <c r="E6" i="6" s="1"/>
  <c r="D6" i="3"/>
  <c r="D9" i="3" s="1"/>
  <c r="D6" i="6" s="1"/>
  <c r="C6" i="3"/>
  <c r="C9" i="3" s="1"/>
  <c r="C6" i="6" s="1"/>
  <c r="F9" i="3" l="1"/>
  <c r="F6" i="6" s="1"/>
  <c r="C19" i="5"/>
  <c r="C21" i="5" s="1"/>
  <c r="C8" i="6" s="1"/>
  <c r="G9" i="3"/>
  <c r="G6" i="6" s="1"/>
  <c r="D19" i="5"/>
  <c r="D21" i="5" s="1"/>
  <c r="D8" i="6" s="1"/>
  <c r="E19" i="5"/>
  <c r="E21" i="5" s="1"/>
  <c r="E8" i="6" s="1"/>
  <c r="C18" i="4"/>
  <c r="C20" i="4" s="1"/>
  <c r="C7" i="6" s="1"/>
  <c r="F19" i="5"/>
  <c r="F21" i="5" s="1"/>
  <c r="F8" i="6" s="1"/>
  <c r="D18" i="4"/>
  <c r="D20" i="4" s="1"/>
  <c r="D7" i="6" s="1"/>
  <c r="G19" i="5"/>
  <c r="G21" i="5" s="1"/>
  <c r="G8" i="6" s="1"/>
  <c r="F18" i="4"/>
  <c r="F20" i="4" s="1"/>
  <c r="F7" i="6" s="1"/>
  <c r="G18" i="4"/>
  <c r="G20" i="4" s="1"/>
  <c r="G7" i="6" s="1"/>
  <c r="B12" i="5"/>
  <c r="B6" i="6"/>
  <c r="B10" i="3"/>
  <c r="C6" i="9"/>
  <c r="B20" i="4"/>
  <c r="D6" i="9"/>
  <c r="B21" i="5"/>
  <c r="B11" i="9"/>
  <c r="B18" i="7"/>
  <c r="B16" i="7"/>
  <c r="H6" i="6" l="1"/>
  <c r="B8" i="6"/>
  <c r="H8" i="6" s="1"/>
  <c r="B22" i="5"/>
  <c r="B7" i="6"/>
  <c r="H7" i="6" s="1"/>
  <c r="B21" i="4"/>
  <c r="B11" i="6"/>
  <c r="C10" i="3"/>
  <c r="C11" i="6" l="1"/>
  <c r="D10" i="3"/>
  <c r="B12" i="6"/>
  <c r="B16" i="6" s="1"/>
  <c r="C21" i="4"/>
  <c r="B13" i="6"/>
  <c r="B17" i="6" s="1"/>
  <c r="C22" i="5"/>
  <c r="C13" i="6" l="1"/>
  <c r="C17" i="6" s="1"/>
  <c r="D22" i="5"/>
  <c r="C12" i="6"/>
  <c r="C16" i="6" s="1"/>
  <c r="D21" i="4"/>
  <c r="D11" i="6"/>
  <c r="E10" i="3"/>
  <c r="E11" i="6" l="1"/>
  <c r="F10" i="3"/>
  <c r="D12" i="6"/>
  <c r="D16" i="6" s="1"/>
  <c r="E21" i="4"/>
  <c r="D13" i="6"/>
  <c r="D17" i="6" s="1"/>
  <c r="E22" i="5"/>
  <c r="E13" i="6" l="1"/>
  <c r="E17" i="6" s="1"/>
  <c r="F22" i="5"/>
  <c r="E12" i="6"/>
  <c r="E16" i="6" s="1"/>
  <c r="F21" i="4"/>
  <c r="F11" i="6"/>
  <c r="G10" i="3"/>
  <c r="B7" i="9" l="1"/>
  <c r="G11" i="6"/>
  <c r="B12" i="3"/>
  <c r="F12" i="6"/>
  <c r="F16" i="6" s="1"/>
  <c r="G21" i="4"/>
  <c r="F13" i="6"/>
  <c r="F17" i="6" s="1"/>
  <c r="G22" i="5"/>
  <c r="D7" i="9" l="1"/>
  <c r="G13" i="6"/>
  <c r="G17" i="6" s="1"/>
  <c r="D8" i="9" s="1"/>
  <c r="C7" i="9"/>
  <c r="G12" i="6"/>
  <c r="G16" i="6" s="1"/>
  <c r="C8" i="9" s="1"/>
  <c r="B22" i="6"/>
  <c r="D9" i="9" s="1"/>
  <c r="B21" i="6"/>
  <c r="C9" i="9"/>
</calcChain>
</file>

<file path=xl/sharedStrings.xml><?xml version="1.0" encoding="utf-8"?>
<sst xmlns="http://schemas.openxmlformats.org/spreadsheetml/2006/main" count="333" uniqueCount="267">
  <si>
    <t>ARPOL Laser-Cutting Insourcing — 5-Year TCO Model</t>
  </si>
  <si>
    <t>Purpose</t>
  </si>
  <si>
    <t>Evaluate whether ARPOL should insource laser-cutting (currently subcontracted), and if so, with which supplier (EU vs China).</t>
  </si>
  <si>
    <t>Compares three scenarios over 5 years: Continue Outsourcing | EU Insource | China Insource.</t>
  </si>
  <si>
    <t>How to use</t>
  </si>
  <si>
    <t>1. Fill in the Assumptions tab — all yellow cells. Replace placeholder values with researched inputs from Team B.</t>
  </si>
  <si>
    <t>2. Every assumption cell links to a Source column. Populate the Source column for every input used.</t>
  </si>
  <si>
    <t>3. The three Scenario tabs (Current State, EU Insource, China Insource) pull from Assumptions automatically.</t>
  </si>
  <si>
    <t>4. The TCO Comparison tab consolidates the three scenarios and computes payback.</t>
  </si>
  <si>
    <t>5. Sensitivity tab tests how payback changes under different volume and CAPEX assumptions.</t>
  </si>
  <si>
    <t>6. Executive Summary tab is the slide-ready output for the presentation.</t>
  </si>
  <si>
    <t>Colour conventions (industry standard)</t>
  </si>
  <si>
    <t>Blue text</t>
  </si>
  <si>
    <t>Hardcoded input (you can change)</t>
  </si>
  <si>
    <t>Black text</t>
  </si>
  <si>
    <t>Formula or calculation (do not edit)</t>
  </si>
  <si>
    <t>Green text</t>
  </si>
  <si>
    <t>Link from another sheet</t>
  </si>
  <si>
    <t>Yellow fill</t>
  </si>
  <si>
    <t>Key assumption — needs to be sourced/validated</t>
  </si>
  <si>
    <t>Sheet map</t>
  </si>
  <si>
    <t>Assumptions</t>
  </si>
  <si>
    <t>All inputs in one place. Every model number traces back here.</t>
  </si>
  <si>
    <t>Current State</t>
  </si>
  <si>
    <t>Baseline scenario: continue outsourcing laser-cutting. Annual cost + 5-yr NPV.</t>
  </si>
  <si>
    <t>EU Insource</t>
  </si>
  <si>
    <t>Insource scenario with EU supplier (Trumpf/Bystronic archetype).</t>
  </si>
  <si>
    <t>China Insource</t>
  </si>
  <si>
    <t>Insource scenario with Chinese supplier (Bodor/HSG archetype).</t>
  </si>
  <si>
    <t>TCO Comparison</t>
  </si>
  <si>
    <t>5-year side-by-side. Cumulative cash position. Payback period.</t>
  </si>
  <si>
    <t>Working Capital</t>
  </si>
  <si>
    <t>SKU rationalisation impact: coil-to-sheet inventory release.</t>
  </si>
  <si>
    <t>Sensitivity</t>
  </si>
  <si>
    <t>Volume cases (low/base/high) × CAPEX cases (low/base/high).</t>
  </si>
  <si>
    <t>Executive Summary</t>
  </si>
  <si>
    <t>One-page output for the presentation.</t>
  </si>
  <si>
    <t>Assumption Register — all model inputs</t>
  </si>
  <si>
    <t>#</t>
  </si>
  <si>
    <t>Input</t>
  </si>
  <si>
    <t>Value</t>
  </si>
  <si>
    <t>Unit</t>
  </si>
  <si>
    <t>Source</t>
  </si>
  <si>
    <t>Notes</t>
  </si>
  <si>
    <t>CURRENT STATE BASELINE (Continue Outsourcing)</t>
  </si>
  <si>
    <t>Annual subcontract spend on laser-cutting</t>
  </si>
  <si>
    <t>€/year</t>
  </si>
  <si>
    <t>Client (Manuel via Prof. Felipe)</t>
  </si>
  <si>
    <t>PLACEHOLDER — replace once client data arrives</t>
  </si>
  <si>
    <t>Annual production volume (current)</t>
  </si>
  <si>
    <t>units</t>
  </si>
  <si>
    <t>Client</t>
  </si>
  <si>
    <t>PLACEHOLDER</t>
  </si>
  <si>
    <t>Press-cutting annual operational cost</t>
  </si>
  <si>
    <t>Client / INE benchmark</t>
  </si>
  <si>
    <t>Labour + energy + maintenance on 25-yr-old press</t>
  </si>
  <si>
    <t>Current scrap &amp; rework cost</t>
  </si>
  <si>
    <t>Client / industry benchmark</t>
  </si>
  <si>
    <t>Estimate as % of revenue if no client data</t>
  </si>
  <si>
    <t>VOLUME GROWTH (tied to €4M → €8M by 2028)</t>
  </si>
  <si>
    <t>Annual volume growth rate</t>
  </si>
  <si>
    <t>%/year</t>
  </si>
  <si>
    <t>Derived from €4M→€8M plan</t>
  </si>
  <si>
    <t>15% compound matches doubling by 2028</t>
  </si>
  <si>
    <t>EU SUPPLIER SCENARIO (Trumpf/Bystronic archetype)</t>
  </si>
  <si>
    <t>EU laser cutter equipment cost</t>
  </si>
  <si>
    <t>€</t>
  </si>
  <si>
    <t>Trumpf / Bystronic published pricing, Statista</t>
  </si>
  <si>
    <t>3–6kW fiber, validate range</t>
  </si>
  <si>
    <t>Installation &amp; commissioning (EU)</t>
  </si>
  <si>
    <t>% of CAPEX</t>
  </si>
  <si>
    <t>Supplier whitepapers</t>
  </si>
  <si>
    <t>Typical 8–15%</t>
  </si>
  <si>
    <t>Operator training cost (EU)</t>
  </si>
  <si>
    <t>€ one-off</t>
  </si>
  <si>
    <t>Per operator</t>
  </si>
  <si>
    <t>Ancillary equipment (extraction, chiller)</t>
  </si>
  <si>
    <t>Industry benchmark</t>
  </si>
  <si>
    <t>EU annual maintenance contract</t>
  </si>
  <si>
    <t>% of CAPEX/year</t>
  </si>
  <si>
    <t>Typical 5–8%</t>
  </si>
  <si>
    <t>EU delivery lead time</t>
  </si>
  <si>
    <t>weeks</t>
  </si>
  <si>
    <t>Supplier published lead times</t>
  </si>
  <si>
    <t>CHINA SUPPLIER SCENARIO (Bodor/HSG archetype)</t>
  </si>
  <si>
    <t>China laser cutter equipment cost</t>
  </si>
  <si>
    <t>Bodor / HSG / Han's Laser pricing</t>
  </si>
  <si>
    <t>3–6kW fiber equivalent</t>
  </si>
  <si>
    <t>Installation &amp; commissioning (China)</t>
  </si>
  <si>
    <t>Trade publications</t>
  </si>
  <si>
    <t>Higher due to remote support</t>
  </si>
  <si>
    <t>Operator training cost (China)</t>
  </si>
  <si>
    <t>Supplier estimates</t>
  </si>
  <si>
    <t>Shipping &amp; customs (China → Spain)</t>
  </si>
  <si>
    <t>Freight forwarder benchmarks</t>
  </si>
  <si>
    <t>Same as EU case</t>
  </si>
  <si>
    <t>China annual maintenance / parts</t>
  </si>
  <si>
    <t>Industry estimates</t>
  </si>
  <si>
    <t>Often pay-per-incident; flag risk</t>
  </si>
  <si>
    <t>China delivery lead time</t>
  </si>
  <si>
    <t>OPERATING COSTS (both insource scenarios)</t>
  </si>
  <si>
    <t>Annual operating hours</t>
  </si>
  <si>
    <t>hours/year</t>
  </si>
  <si>
    <t>Client / 1-shift assumption</t>
  </si>
  <si>
    <t>~225 working days × 8h</t>
  </si>
  <si>
    <t>Laser power consumption under load</t>
  </si>
  <si>
    <t>kW</t>
  </si>
  <si>
    <t>Supplier specs</t>
  </si>
  <si>
    <t>Includes auxiliary (chiller, extraction)</t>
  </si>
  <si>
    <t>Spanish industrial electricity rate</t>
  </si>
  <si>
    <t>€/kWh</t>
  </si>
  <si>
    <t>Eurostat / INE</t>
  </si>
  <si>
    <t>Verify current rate</t>
  </si>
  <si>
    <t>Consumables cost per operating hour</t>
  </si>
  <si>
    <t>€/hour</t>
  </si>
  <si>
    <t>Nozzles, lenses, assist gas</t>
  </si>
  <si>
    <t>Operator wage (loaded)</t>
  </si>
  <si>
    <t>€/year per operator</t>
  </si>
  <si>
    <t>INE Spanish manufacturing wages</t>
  </si>
  <si>
    <t>Includes social charges</t>
  </si>
  <si>
    <t>Operators required</t>
  </si>
  <si>
    <t>FTE</t>
  </si>
  <si>
    <t>Standard 1-shift operation</t>
  </si>
  <si>
    <t>Equipment useful life</t>
  </si>
  <si>
    <t>years</t>
  </si>
  <si>
    <t>Spanish accounting standards</t>
  </si>
  <si>
    <t>Used for depreciation horizon</t>
  </si>
  <si>
    <t>WORKING CAPITAL (SKU rationalisation insight)</t>
  </si>
  <si>
    <t>Current coil SKU count (rings per thickness)</t>
  </si>
  <si>
    <t>SKUs/thickness</t>
  </si>
  <si>
    <t>Manuel interview</t>
  </si>
  <si>
    <t>CONFIRMED</t>
  </si>
  <si>
    <t>Number of thickness grades</t>
  </si>
  <si>
    <t>thicknesses</t>
  </si>
  <si>
    <t>Client estimate</t>
  </si>
  <si>
    <t>Avg inventory value per coil SKU</t>
  </si>
  <si>
    <t>Client / steel pricing benchmark</t>
  </si>
  <si>
    <t>Inventory holding cost rate</t>
  </si>
  <si>
    <t>% of inv value/year</t>
  </si>
  <si>
    <t>Typical 15-25% for industrial SMEs</t>
  </si>
  <si>
    <t>SKU reduction with coil-to-sheet shift</t>
  </si>
  <si>
    <t>% reduction</t>
  </si>
  <si>
    <t>Hypothesis from Manuel interview</t>
  </si>
  <si>
    <t>Coils unified by thickness; sheets serve more SKUs</t>
  </si>
  <si>
    <t>FINANCIAL PARAMETERS</t>
  </si>
  <si>
    <t>Discount rate (WACC proxy)</t>
  </si>
  <si>
    <t>%</t>
  </si>
  <si>
    <t>Spanish SME benchmark</t>
  </si>
  <si>
    <t>For NPV calculations</t>
  </si>
  <si>
    <t>Inflation assumption</t>
  </si>
  <si>
    <t>Eurozone target / consensus</t>
  </si>
  <si>
    <t>Applied to operating costs</t>
  </si>
  <si>
    <t>CAPEX payback hurdle</t>
  </si>
  <si>
    <t>Validate with ARPOL Finance</t>
  </si>
  <si>
    <t>Current State — Continue Outsourcing Laser-Cutting</t>
  </si>
  <si>
    <t>Baseline scenario: ARPOL continues subcontracting laser-cutting and operates the existing 25-yr-old press.</t>
  </si>
  <si>
    <t>Line item</t>
  </si>
  <si>
    <t>Year 0</t>
  </si>
  <si>
    <t>Year 1</t>
  </si>
  <si>
    <t>Year 2</t>
  </si>
  <si>
    <t>Year 3</t>
  </si>
  <si>
    <t>Year 4</t>
  </si>
  <si>
    <t>Year 5</t>
  </si>
  <si>
    <t>Subcontract spend</t>
  </si>
  <si>
    <t>Press operational cost</t>
  </si>
  <si>
    <t>Scrap &amp; rework cost</t>
  </si>
  <si>
    <t>Total annual cash flow</t>
  </si>
  <si>
    <t>Cumulative cash flow</t>
  </si>
  <si>
    <t>5-year cumulative cost of continuing to outsource</t>
  </si>
  <si>
    <t>EU Insource Scenario — Trumpf/Bystronic archetype</t>
  </si>
  <si>
    <t>— CAPEX (Year 0) —</t>
  </si>
  <si>
    <t>Equipment cost</t>
  </si>
  <si>
    <t>Installation &amp; commissioning</t>
  </si>
  <si>
    <t>Operator training</t>
  </si>
  <si>
    <t>Ancillary equipment</t>
  </si>
  <si>
    <t>Total CAPEX (Year 0)</t>
  </si>
  <si>
    <t>— Annual operating costs (Years 1–5) —</t>
  </si>
  <si>
    <t>Energy</t>
  </si>
  <si>
    <t>Consumables (nozzles, lenses, gas)</t>
  </si>
  <si>
    <t>Maintenance contract</t>
  </si>
  <si>
    <t>Operator labour</t>
  </si>
  <si>
    <t>Total annual operating cost</t>
  </si>
  <si>
    <t>TOTAL annual cash flow</t>
  </si>
  <si>
    <t>China Insource Scenario — Bodor/HSG archetype</t>
  </si>
  <si>
    <t>Shipping &amp; customs</t>
  </si>
  <si>
    <t>5-Year TCO Comparison &amp; Payback Analysis</t>
  </si>
  <si>
    <t>Compares the three scenarios side-by-side. Payback measured against the Continue Outsourcing baseline.</t>
  </si>
  <si>
    <t>Scenario</t>
  </si>
  <si>
    <t>5-yr Total</t>
  </si>
  <si>
    <t>Continue Outsourcing — annual</t>
  </si>
  <si>
    <t>EU Insource — annual</t>
  </si>
  <si>
    <t>China Insource — annual</t>
  </si>
  <si>
    <t>— Cumulative cash position —</t>
  </si>
  <si>
    <t>Continue Outsourcing — cumulative</t>
  </si>
  <si>
    <t>EU Insource — cumulative</t>
  </si>
  <si>
    <t>China Insource — cumulative</t>
  </si>
  <si>
    <t>— Cumulative savings vs Continue Outsourcing —</t>
  </si>
  <si>
    <t>EU Insource — savings (vs outsource)</t>
  </si>
  <si>
    <t>China Insource — savings (vs outsource)</t>
  </si>
  <si>
    <t>— Payback period (years to break even vs outsourcing) —</t>
  </si>
  <si>
    <t>EU Insource — payback year</t>
  </si>
  <si>
    <t>China Insource — payback year</t>
  </si>
  <si>
    <t>Working Capital Release — SKU Rationalisation Impact</t>
  </si>
  <si>
    <t>Coil-to-sheet shift consolidates ~8 rings per thickness into unified sheet inventory. This is the differentiating insight from the Manuel interview.</t>
  </si>
  <si>
    <t>Calculation</t>
  </si>
  <si>
    <t>Source / Formula</t>
  </si>
  <si>
    <t>Coil SKUs per thickness</t>
  </si>
  <si>
    <t>Assumption #26 (confirmed by Manuel)</t>
  </si>
  <si>
    <t>× Number of thickness grades</t>
  </si>
  <si>
    <t>Assumption #27</t>
  </si>
  <si>
    <t>→ Total coil SKUs held today</t>
  </si>
  <si>
    <t>× Avg inventory value per SKU</t>
  </si>
  <si>
    <t>Assumption #28</t>
  </si>
  <si>
    <t>→ Current coil inventory value</t>
  </si>
  <si>
    <t>SKU reduction rate (sheets unify by thickness)</t>
  </si>
  <si>
    <t>Assumption #30 (hypothesis, validate)</t>
  </si>
  <si>
    <t>Inventory release (€ one-time)</t>
  </si>
  <si>
    <t>× Inventory holding cost rate</t>
  </si>
  <si>
    <t>→ Inventory release (€ one-time)</t>
  </si>
  <si>
    <t>5-year total WC benefit</t>
  </si>
  <si>
    <t>One-time release + 5 yrs of holding cost saved</t>
  </si>
  <si>
    <t>→ Annual holding cost saving (€/year)</t>
  </si>
  <si>
    <t>Sensitivity Analysis — Payback under different scenarios</t>
  </si>
  <si>
    <t>Tests how robust the recommendation is to volume and CAPEX variation. Manual inputs — duplicate the model with different assumption values to populate.</t>
  </si>
  <si>
    <t>Scenario name</t>
  </si>
  <si>
    <t>Volume case</t>
  </si>
  <si>
    <t>CAPEX case</t>
  </si>
  <si>
    <t>EU payback (yrs)</t>
  </si>
  <si>
    <t>China payback (yrs)</t>
  </si>
  <si>
    <t>Comment</t>
  </si>
  <si>
    <t>Base case</t>
  </si>
  <si>
    <t>Base (15% growth)</t>
  </si>
  <si>
    <t>Mid-range</t>
  </si>
  <si>
    <t>Replace EU/China cells with manual values from rerun</t>
  </si>
  <si>
    <t>Low volume</t>
  </si>
  <si>
    <t>Conservative (8% growth)</t>
  </si>
  <si>
    <t>Tests if growth slower than €4M→€8M plan</t>
  </si>
  <si>
    <t>High volume</t>
  </si>
  <si>
    <t>Optimistic (20% growth)</t>
  </si>
  <si>
    <t>Tests upside case</t>
  </si>
  <si>
    <t>Low CAPEX</t>
  </si>
  <si>
    <t>Base</t>
  </si>
  <si>
    <t>EU at low end / China at low end</t>
  </si>
  <si>
    <t>High CAPEX</t>
  </si>
  <si>
    <t>EU at high end / China at high end</t>
  </si>
  <si>
    <t>Subcontract -20%</t>
  </si>
  <si>
    <t>Tests if outsourcing is cheaper than estimated</t>
  </si>
  <si>
    <t>Subcontract +20%</t>
  </si>
  <si>
    <t>Tests if outsourcing is more expensive</t>
  </si>
  <si>
    <t>Executive Summary — Slide-Ready Output</t>
  </si>
  <si>
    <t>This sheet pulls headline numbers from the model. Use directly in the presentation.</t>
  </si>
  <si>
    <t>Headline metric</t>
  </si>
  <si>
    <t>Continue Outsourcing</t>
  </si>
  <si>
    <t>Year 0 CAPEX</t>
  </si>
  <si>
    <t>5-year cumulative cash flow</t>
  </si>
  <si>
    <t>5-yr savings vs outsourcing</t>
  </si>
  <si>
    <t>—</t>
  </si>
  <si>
    <t>Payback period</t>
  </si>
  <si>
    <t>n/a</t>
  </si>
  <si>
    <t>Working capital release (one-time)</t>
  </si>
  <si>
    <t>Applies to both insource scenarios</t>
  </si>
  <si>
    <t>KEY MESSAGES FOR THE BOARD</t>
  </si>
  <si>
    <t>1. Insourcing is structurally favoured over continuing the subcontract.</t>
  </si>
  <si>
    <t>2. The SKU rationalisation (coil-to-sheet) releases working capital independently of supplier choice.</t>
  </si>
  <si>
    <t>3. Supplier trade-off: EU = lower risk, longer payback. China = faster payback, higher operational risk.</t>
  </si>
  <si>
    <t>4. Payback sits within ARPOL's expected hurdle (validate with Finance).</t>
  </si>
  <si>
    <t>5. Pending data: subcontract baseline, current press unit economics. Numbers above use placeholders.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</si>
</sst>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€#,##0;&quot;(€&quot;#,##0\);\-"/>
    <numFmt numFmtId="165" formatCode="#,##0;\(#,##0\);\-"/>
    <numFmt numFmtId="166" formatCode="0.0%;\(0.0%\);\-"/>
    <numFmt numFmtId="167" formatCode="0.0&quot; yrs&quot;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i/>
      <sz val="9"/>
      <color rgb="FF666666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EB9C"/>
        <bgColor rgb="FFF2F2F2"/>
      </patternFill>
    </fill>
    <fill>
      <patternFill patternType="solid">
        <fgColor rgb="FFC6EFCE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theme="9" tint="0.79998168889431442"/>
        <bgColor rgb="FFFFFF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7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164" fontId="3" fillId="0" borderId="0" xfId="0" applyNumberFormat="1" applyFont="1"/>
    <xf numFmtId="164" fontId="8" fillId="0" borderId="0" xfId="0" applyNumberFormat="1" applyFont="1"/>
    <xf numFmtId="0" fontId="4" fillId="7" borderId="0" xfId="0" applyFont="1" applyFill="1"/>
    <xf numFmtId="164" fontId="4" fillId="7" borderId="0" xfId="0" applyNumberFormat="1" applyFont="1" applyFill="1"/>
    <xf numFmtId="164" fontId="4" fillId="0" borderId="0" xfId="0" applyNumberFormat="1" applyFont="1"/>
    <xf numFmtId="164" fontId="4" fillId="5" borderId="0" xfId="0" applyNumberFormat="1" applyFont="1" applyFill="1"/>
    <xf numFmtId="0" fontId="4" fillId="5" borderId="0" xfId="0" applyFont="1" applyFill="1"/>
    <xf numFmtId="0" fontId="0" fillId="3" borderId="0" xfId="0" applyFill="1"/>
    <xf numFmtId="0" fontId="4" fillId="6" borderId="0" xfId="0" applyFont="1" applyFill="1"/>
    <xf numFmtId="165" fontId="8" fillId="0" borderId="0" xfId="0" applyNumberFormat="1" applyFont="1"/>
    <xf numFmtId="165" fontId="4" fillId="7" borderId="0" xfId="0" applyNumberFormat="1" applyFont="1" applyFill="1"/>
    <xf numFmtId="166" fontId="8" fillId="0" borderId="0" xfId="0" applyNumberFormat="1" applyFont="1"/>
    <xf numFmtId="164" fontId="4" fillId="6" borderId="0" xfId="0" applyNumberFormat="1" applyFont="1" applyFill="1"/>
    <xf numFmtId="167" fontId="6" fillId="4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64" fontId="8" fillId="6" borderId="0" xfId="0" applyNumberFormat="1" applyFont="1" applyFill="1"/>
    <xf numFmtId="0" fontId="9" fillId="6" borderId="0" xfId="0" applyFont="1" applyFill="1" applyAlignment="1">
      <alignment horizontal="center"/>
    </xf>
    <xf numFmtId="164" fontId="8" fillId="5" borderId="0" xfId="0" applyNumberFormat="1" applyFont="1" applyFill="1"/>
    <xf numFmtId="0" fontId="2" fillId="3" borderId="0" xfId="0" applyFont="1" applyFill="1"/>
    <xf numFmtId="0" fontId="1" fillId="2" borderId="0" xfId="0" applyFont="1" applyFill="1" applyAlignment="1">
      <alignment horizontal="left" vertical="center"/>
    </xf>
    <xf numFmtId="0" fontId="7" fillId="0" borderId="0" xfId="0" applyFont="1"/>
    <xf numFmtId="0" fontId="3" fillId="0" borderId="0" xfId="0" applyFont="1"/>
    <xf numFmtId="0" fontId="7" fillId="5" borderId="0" xfId="0" applyFont="1" applyFill="1"/>
    <xf numFmtId="164" fontId="6" fillId="8" borderId="1" xfId="0" applyNumberFormat="1" applyFont="1" applyFill="1" applyBorder="1" applyAlignment="1">
      <alignment horizontal="center"/>
    </xf>
    <xf numFmtId="165" fontId="6" fillId="8" borderId="1" xfId="0" applyNumberFormat="1" applyFont="1" applyFill="1" applyBorder="1" applyAlignment="1">
      <alignment horizontal="center"/>
    </xf>
    <xf numFmtId="166" fontId="6" fillId="8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534B59-EEA1-422E-A2B1-0D0A6FADDA11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topLeftCell="A5" zoomScaleNormal="100" workbookViewId="0">
      <selection activeCell="A7" sqref="A7"/>
    </sheetView>
  </sheetViews>
  <sheetFormatPr defaultColWidth="8.7265625" defaultRowHeight="14.5" x14ac:dyDescent="0.35"/>
  <cols>
    <col min="1" max="1" width="22" customWidth="1"/>
    <col min="2" max="2" width="90" customWidth="1"/>
  </cols>
  <sheetData>
    <row r="1" spans="1:8" ht="27.75" customHeight="1" x14ac:dyDescent="0.35">
      <c r="A1" s="28" t="s">
        <v>0</v>
      </c>
      <c r="B1" s="28"/>
      <c r="C1" s="28"/>
      <c r="D1" s="28"/>
      <c r="E1" s="28"/>
      <c r="F1" s="28"/>
      <c r="G1" s="28"/>
      <c r="H1" s="28"/>
    </row>
    <row r="3" spans="1:8" ht="15" customHeight="1" x14ac:dyDescent="0.35">
      <c r="A3" s="1" t="s">
        <v>1</v>
      </c>
    </row>
    <row r="4" spans="1:8" ht="15" customHeight="1" x14ac:dyDescent="0.35">
      <c r="A4" s="2" t="s">
        <v>2</v>
      </c>
    </row>
    <row r="5" spans="1:8" ht="15" customHeight="1" x14ac:dyDescent="0.35">
      <c r="A5" s="2" t="s">
        <v>3</v>
      </c>
    </row>
    <row r="7" spans="1:8" ht="15" customHeight="1" x14ac:dyDescent="0.35">
      <c r="A7" s="1" t="s">
        <v>4</v>
      </c>
    </row>
    <row r="8" spans="1:8" ht="15" customHeight="1" x14ac:dyDescent="0.35">
      <c r="A8" s="2" t="s">
        <v>5</v>
      </c>
    </row>
    <row r="9" spans="1:8" ht="15" customHeight="1" x14ac:dyDescent="0.35">
      <c r="A9" s="2" t="s">
        <v>6</v>
      </c>
    </row>
    <row r="10" spans="1:8" ht="15" customHeight="1" x14ac:dyDescent="0.35">
      <c r="A10" s="2" t="s">
        <v>7</v>
      </c>
    </row>
    <row r="11" spans="1:8" ht="15" customHeight="1" x14ac:dyDescent="0.35">
      <c r="A11" s="2" t="s">
        <v>8</v>
      </c>
    </row>
    <row r="12" spans="1:8" ht="15" customHeight="1" x14ac:dyDescent="0.35">
      <c r="A12" s="2" t="s">
        <v>9</v>
      </c>
    </row>
    <row r="13" spans="1:8" ht="15" customHeight="1" x14ac:dyDescent="0.35">
      <c r="A13" s="2" t="s">
        <v>10</v>
      </c>
    </row>
    <row r="15" spans="1:8" ht="15" customHeight="1" x14ac:dyDescent="0.35">
      <c r="A15" s="1" t="s">
        <v>11</v>
      </c>
    </row>
    <row r="16" spans="1:8" ht="15" customHeight="1" x14ac:dyDescent="0.35">
      <c r="A16" s="3" t="s">
        <v>12</v>
      </c>
      <c r="B16" s="2" t="s">
        <v>13</v>
      </c>
    </row>
    <row r="17" spans="1:2" ht="15" customHeight="1" x14ac:dyDescent="0.35">
      <c r="A17" s="3" t="s">
        <v>14</v>
      </c>
      <c r="B17" s="2" t="s">
        <v>15</v>
      </c>
    </row>
    <row r="18" spans="1:2" ht="15" customHeight="1" x14ac:dyDescent="0.35">
      <c r="A18" s="3" t="s">
        <v>16</v>
      </c>
      <c r="B18" s="2" t="s">
        <v>17</v>
      </c>
    </row>
    <row r="19" spans="1:2" ht="15" customHeight="1" x14ac:dyDescent="0.35">
      <c r="A19" s="3" t="s">
        <v>18</v>
      </c>
      <c r="B19" s="2" t="s">
        <v>19</v>
      </c>
    </row>
    <row r="22" spans="1:2" ht="15" customHeight="1" x14ac:dyDescent="0.35">
      <c r="A22" s="1" t="s">
        <v>20</v>
      </c>
    </row>
    <row r="23" spans="1:2" ht="15" customHeight="1" x14ac:dyDescent="0.35">
      <c r="A23" s="3" t="s">
        <v>21</v>
      </c>
      <c r="B23" s="2" t="s">
        <v>22</v>
      </c>
    </row>
    <row r="24" spans="1:2" ht="15" customHeight="1" x14ac:dyDescent="0.35">
      <c r="A24" s="3" t="s">
        <v>23</v>
      </c>
      <c r="B24" s="2" t="s">
        <v>24</v>
      </c>
    </row>
    <row r="25" spans="1:2" ht="15" customHeight="1" x14ac:dyDescent="0.35">
      <c r="A25" s="3" t="s">
        <v>25</v>
      </c>
      <c r="B25" s="2" t="s">
        <v>26</v>
      </c>
    </row>
    <row r="26" spans="1:2" ht="15" customHeight="1" x14ac:dyDescent="0.35">
      <c r="A26" s="3" t="s">
        <v>27</v>
      </c>
      <c r="B26" s="2" t="s">
        <v>28</v>
      </c>
    </row>
    <row r="27" spans="1:2" ht="15" customHeight="1" x14ac:dyDescent="0.35">
      <c r="A27" s="3" t="s">
        <v>29</v>
      </c>
      <c r="B27" s="2" t="s">
        <v>30</v>
      </c>
    </row>
    <row r="28" spans="1:2" ht="15" customHeight="1" x14ac:dyDescent="0.35">
      <c r="A28" s="3" t="s">
        <v>31</v>
      </c>
      <c r="B28" s="2" t="s">
        <v>32</v>
      </c>
    </row>
    <row r="29" spans="1:2" ht="15" customHeight="1" x14ac:dyDescent="0.35">
      <c r="A29" s="3" t="s">
        <v>33</v>
      </c>
      <c r="B29" s="2" t="s">
        <v>34</v>
      </c>
    </row>
    <row r="30" spans="1:2" ht="15" customHeight="1" x14ac:dyDescent="0.35">
      <c r="A30" s="3" t="s">
        <v>35</v>
      </c>
      <c r="B30" s="2" t="s">
        <v>36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showGridLines="0" tabSelected="1" zoomScale="60" zoomScaleNormal="60" workbookViewId="0">
      <pane ySplit="3" topLeftCell="A4" activePane="bottomLeft" state="frozen"/>
      <selection pane="bottomLeft" activeCell="C41" sqref="C41:C43"/>
    </sheetView>
  </sheetViews>
  <sheetFormatPr defaultColWidth="8.7265625" defaultRowHeight="14.5" x14ac:dyDescent="0.35"/>
  <cols>
    <col min="1" max="1" width="6" customWidth="1"/>
    <col min="2" max="2" width="48" customWidth="1"/>
    <col min="3" max="3" width="18" customWidth="1"/>
    <col min="4" max="4" width="22" customWidth="1"/>
    <col min="5" max="5" width="42" customWidth="1"/>
    <col min="6" max="6" width="50" customWidth="1"/>
  </cols>
  <sheetData>
    <row r="1" spans="1:6" ht="25.5" customHeight="1" x14ac:dyDescent="0.35">
      <c r="A1" s="28" t="s">
        <v>37</v>
      </c>
      <c r="B1" s="28"/>
      <c r="C1" s="28"/>
      <c r="D1" s="28"/>
      <c r="E1" s="28"/>
      <c r="F1" s="28"/>
    </row>
    <row r="3" spans="1:6" ht="15" customHeight="1" x14ac:dyDescent="0.35">
      <c r="A3" s="4" t="s">
        <v>38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</row>
    <row r="4" spans="1:6" ht="15" customHeight="1" x14ac:dyDescent="0.35">
      <c r="A4" s="27" t="s">
        <v>44</v>
      </c>
      <c r="B4" s="27"/>
      <c r="C4" s="27"/>
      <c r="D4" s="27"/>
      <c r="E4" s="27"/>
      <c r="F4" s="27"/>
    </row>
    <row r="5" spans="1:6" ht="15" customHeight="1" x14ac:dyDescent="0.35">
      <c r="A5" s="2"/>
      <c r="B5" s="2" t="s">
        <v>45</v>
      </c>
      <c r="C5" s="32">
        <v>120000</v>
      </c>
      <c r="D5" s="2" t="s">
        <v>46</v>
      </c>
      <c r="E5" s="6" t="s">
        <v>47</v>
      </c>
      <c r="F5" s="6" t="s">
        <v>48</v>
      </c>
    </row>
    <row r="6" spans="1:6" ht="15" customHeight="1" x14ac:dyDescent="0.35">
      <c r="A6" s="2"/>
      <c r="B6" s="2" t="s">
        <v>49</v>
      </c>
      <c r="C6" s="33">
        <v>50000</v>
      </c>
      <c r="D6" s="2" t="s">
        <v>50</v>
      </c>
      <c r="E6" s="6" t="s">
        <v>51</v>
      </c>
      <c r="F6" s="6" t="s">
        <v>52</v>
      </c>
    </row>
    <row r="7" spans="1:6" ht="15" customHeight="1" x14ac:dyDescent="0.35">
      <c r="A7" s="2"/>
      <c r="B7" s="2" t="s">
        <v>53</v>
      </c>
      <c r="C7" s="32">
        <v>80000</v>
      </c>
      <c r="D7" s="2" t="s">
        <v>46</v>
      </c>
      <c r="E7" s="6" t="s">
        <v>54</v>
      </c>
      <c r="F7" s="6" t="s">
        <v>55</v>
      </c>
    </row>
    <row r="8" spans="1:6" ht="15" customHeight="1" x14ac:dyDescent="0.35">
      <c r="A8" s="2"/>
      <c r="B8" s="2" t="s">
        <v>56</v>
      </c>
      <c r="C8" s="32">
        <v>15000</v>
      </c>
      <c r="D8" s="2" t="s">
        <v>46</v>
      </c>
      <c r="E8" s="6" t="s">
        <v>57</v>
      </c>
      <c r="F8" s="6" t="s">
        <v>58</v>
      </c>
    </row>
    <row r="9" spans="1:6" ht="15" customHeight="1" x14ac:dyDescent="0.35">
      <c r="A9" s="27" t="s">
        <v>59</v>
      </c>
      <c r="B9" s="27"/>
      <c r="C9" s="27"/>
      <c r="D9" s="27"/>
      <c r="E9" s="27"/>
      <c r="F9" s="27"/>
    </row>
    <row r="10" spans="1:6" ht="15" customHeight="1" x14ac:dyDescent="0.35">
      <c r="A10" s="2"/>
      <c r="B10" s="2" t="s">
        <v>60</v>
      </c>
      <c r="C10" s="34">
        <v>0.15</v>
      </c>
      <c r="D10" s="2" t="s">
        <v>61</v>
      </c>
      <c r="E10" s="6" t="s">
        <v>62</v>
      </c>
      <c r="F10" s="6" t="s">
        <v>63</v>
      </c>
    </row>
    <row r="11" spans="1:6" ht="15" customHeight="1" x14ac:dyDescent="0.35">
      <c r="A11" s="27" t="s">
        <v>64</v>
      </c>
      <c r="B11" s="27"/>
      <c r="C11" s="27"/>
      <c r="D11" s="27"/>
      <c r="E11" s="27"/>
      <c r="F11" s="27"/>
    </row>
    <row r="12" spans="1:6" ht="15" customHeight="1" x14ac:dyDescent="0.35">
      <c r="A12" s="2"/>
      <c r="B12" s="2" t="s">
        <v>65</v>
      </c>
      <c r="C12" s="32">
        <v>300000</v>
      </c>
      <c r="D12" s="2" t="s">
        <v>66</v>
      </c>
      <c r="E12" s="6" t="s">
        <v>67</v>
      </c>
      <c r="F12" s="6" t="s">
        <v>68</v>
      </c>
    </row>
    <row r="13" spans="1:6" ht="15" customHeight="1" x14ac:dyDescent="0.35">
      <c r="A13" s="2"/>
      <c r="B13" s="2" t="s">
        <v>69</v>
      </c>
      <c r="C13" s="34">
        <v>0.12</v>
      </c>
      <c r="D13" s="2" t="s">
        <v>70</v>
      </c>
      <c r="E13" s="6" t="s">
        <v>71</v>
      </c>
      <c r="F13" s="6" t="s">
        <v>72</v>
      </c>
    </row>
    <row r="14" spans="1:6" ht="15" customHeight="1" x14ac:dyDescent="0.35">
      <c r="A14" s="2"/>
      <c r="B14" s="2" t="s">
        <v>73</v>
      </c>
      <c r="C14" s="32">
        <v>10000</v>
      </c>
      <c r="D14" s="2" t="s">
        <v>74</v>
      </c>
      <c r="E14" s="6" t="s">
        <v>71</v>
      </c>
      <c r="F14" s="6" t="s">
        <v>75</v>
      </c>
    </row>
    <row r="15" spans="1:6" ht="15" customHeight="1" x14ac:dyDescent="0.35">
      <c r="A15" s="2"/>
      <c r="B15" s="2" t="s">
        <v>76</v>
      </c>
      <c r="C15" s="32">
        <v>25000</v>
      </c>
      <c r="D15" s="2" t="s">
        <v>66</v>
      </c>
      <c r="E15" s="6" t="s">
        <v>77</v>
      </c>
      <c r="F15" s="6"/>
    </row>
    <row r="16" spans="1:6" ht="15" customHeight="1" x14ac:dyDescent="0.35">
      <c r="A16" s="2"/>
      <c r="B16" s="2" t="s">
        <v>78</v>
      </c>
      <c r="C16" s="34">
        <v>0.06</v>
      </c>
      <c r="D16" s="2" t="s">
        <v>79</v>
      </c>
      <c r="E16" s="6" t="s">
        <v>71</v>
      </c>
      <c r="F16" s="6" t="s">
        <v>80</v>
      </c>
    </row>
    <row r="17" spans="1:6" ht="15" customHeight="1" x14ac:dyDescent="0.35">
      <c r="A17" s="2"/>
      <c r="B17" s="2" t="s">
        <v>81</v>
      </c>
      <c r="C17" s="33">
        <v>16</v>
      </c>
      <c r="D17" s="2" t="s">
        <v>82</v>
      </c>
      <c r="E17" s="6" t="s">
        <v>83</v>
      </c>
      <c r="F17" s="6"/>
    </row>
    <row r="18" spans="1:6" ht="15" customHeight="1" x14ac:dyDescent="0.35">
      <c r="A18" s="27" t="s">
        <v>84</v>
      </c>
      <c r="B18" s="27"/>
      <c r="C18" s="27"/>
      <c r="D18" s="27"/>
      <c r="E18" s="27"/>
      <c r="F18" s="27"/>
    </row>
    <row r="19" spans="1:6" ht="15" customHeight="1" x14ac:dyDescent="0.35">
      <c r="A19" s="2"/>
      <c r="B19" s="2" t="s">
        <v>85</v>
      </c>
      <c r="C19" s="32">
        <v>110000</v>
      </c>
      <c r="D19" s="2" t="s">
        <v>66</v>
      </c>
      <c r="E19" s="6" t="s">
        <v>86</v>
      </c>
      <c r="F19" s="6" t="s">
        <v>87</v>
      </c>
    </row>
    <row r="20" spans="1:6" ht="15" customHeight="1" x14ac:dyDescent="0.35">
      <c r="A20" s="2"/>
      <c r="B20" s="2" t="s">
        <v>88</v>
      </c>
      <c r="C20" s="34">
        <v>0.2</v>
      </c>
      <c r="D20" s="2" t="s">
        <v>70</v>
      </c>
      <c r="E20" s="6" t="s">
        <v>89</v>
      </c>
      <c r="F20" s="6" t="s">
        <v>90</v>
      </c>
    </row>
    <row r="21" spans="1:6" ht="15" customHeight="1" x14ac:dyDescent="0.35">
      <c r="A21" s="2"/>
      <c r="B21" s="2" t="s">
        <v>91</v>
      </c>
      <c r="C21" s="32">
        <v>8000</v>
      </c>
      <c r="D21" s="2" t="s">
        <v>74</v>
      </c>
      <c r="E21" s="6" t="s">
        <v>92</v>
      </c>
      <c r="F21" s="6"/>
    </row>
    <row r="22" spans="1:6" ht="15" customHeight="1" x14ac:dyDescent="0.35">
      <c r="A22" s="2"/>
      <c r="B22" s="2" t="s">
        <v>93</v>
      </c>
      <c r="C22" s="32">
        <v>12000</v>
      </c>
      <c r="D22" s="2" t="s">
        <v>74</v>
      </c>
      <c r="E22" s="6" t="s">
        <v>94</v>
      </c>
      <c r="F22" s="6"/>
    </row>
    <row r="23" spans="1:6" ht="15" customHeight="1" x14ac:dyDescent="0.35">
      <c r="A23" s="2"/>
      <c r="B23" s="2" t="s">
        <v>76</v>
      </c>
      <c r="C23" s="32">
        <v>25000</v>
      </c>
      <c r="D23" s="2" t="s">
        <v>66</v>
      </c>
      <c r="E23" s="6" t="s">
        <v>77</v>
      </c>
      <c r="F23" s="6" t="s">
        <v>95</v>
      </c>
    </row>
    <row r="24" spans="1:6" ht="15" customHeight="1" x14ac:dyDescent="0.35">
      <c r="A24" s="2"/>
      <c r="B24" s="2" t="s">
        <v>96</v>
      </c>
      <c r="C24" s="34">
        <v>0.04</v>
      </c>
      <c r="D24" s="2" t="s">
        <v>79</v>
      </c>
      <c r="E24" s="6" t="s">
        <v>97</v>
      </c>
      <c r="F24" s="6" t="s">
        <v>98</v>
      </c>
    </row>
    <row r="25" spans="1:6" ht="15" customHeight="1" x14ac:dyDescent="0.35">
      <c r="A25" s="2"/>
      <c r="B25" s="2" t="s">
        <v>99</v>
      </c>
      <c r="C25" s="33">
        <v>24</v>
      </c>
      <c r="D25" s="2" t="s">
        <v>82</v>
      </c>
      <c r="E25" s="6" t="s">
        <v>83</v>
      </c>
      <c r="F25" s="6"/>
    </row>
    <row r="26" spans="1:6" ht="15" customHeight="1" x14ac:dyDescent="0.35">
      <c r="A26" s="27" t="s">
        <v>100</v>
      </c>
      <c r="B26" s="27"/>
      <c r="C26" s="27"/>
      <c r="D26" s="27"/>
      <c r="E26" s="27"/>
      <c r="F26" s="27"/>
    </row>
    <row r="27" spans="1:6" ht="15" customHeight="1" x14ac:dyDescent="0.35">
      <c r="A27" s="2"/>
      <c r="B27" s="2" t="s">
        <v>101</v>
      </c>
      <c r="C27" s="33">
        <v>1800</v>
      </c>
      <c r="D27" s="2" t="s">
        <v>102</v>
      </c>
      <c r="E27" s="6" t="s">
        <v>103</v>
      </c>
      <c r="F27" s="6" t="s">
        <v>104</v>
      </c>
    </row>
    <row r="28" spans="1:6" ht="15" customHeight="1" x14ac:dyDescent="0.35">
      <c r="A28" s="2"/>
      <c r="B28" s="2" t="s">
        <v>105</v>
      </c>
      <c r="C28" s="33">
        <v>20</v>
      </c>
      <c r="D28" s="2" t="s">
        <v>106</v>
      </c>
      <c r="E28" s="6" t="s">
        <v>107</v>
      </c>
      <c r="F28" s="6" t="s">
        <v>108</v>
      </c>
    </row>
    <row r="29" spans="1:6" ht="15" customHeight="1" x14ac:dyDescent="0.35">
      <c r="A29" s="2"/>
      <c r="B29" s="2" t="s">
        <v>109</v>
      </c>
      <c r="C29" s="32">
        <v>0.18</v>
      </c>
      <c r="D29" s="2" t="s">
        <v>110</v>
      </c>
      <c r="E29" s="6" t="s">
        <v>111</v>
      </c>
      <c r="F29" s="6" t="s">
        <v>112</v>
      </c>
    </row>
    <row r="30" spans="1:6" ht="15" customHeight="1" x14ac:dyDescent="0.35">
      <c r="A30" s="2"/>
      <c r="B30" s="2" t="s">
        <v>113</v>
      </c>
      <c r="C30" s="32">
        <v>5</v>
      </c>
      <c r="D30" s="2" t="s">
        <v>114</v>
      </c>
      <c r="E30" s="6" t="s">
        <v>89</v>
      </c>
      <c r="F30" s="6" t="s">
        <v>115</v>
      </c>
    </row>
    <row r="31" spans="1:6" ht="15" customHeight="1" x14ac:dyDescent="0.35">
      <c r="A31" s="2"/>
      <c r="B31" s="2" t="s">
        <v>116</v>
      </c>
      <c r="C31" s="32">
        <v>35000</v>
      </c>
      <c r="D31" s="2" t="s">
        <v>117</v>
      </c>
      <c r="E31" s="6" t="s">
        <v>118</v>
      </c>
      <c r="F31" s="6" t="s">
        <v>119</v>
      </c>
    </row>
    <row r="32" spans="1:6" ht="15" customHeight="1" x14ac:dyDescent="0.35">
      <c r="A32" s="2"/>
      <c r="B32" s="2" t="s">
        <v>120</v>
      </c>
      <c r="C32" s="33">
        <v>1</v>
      </c>
      <c r="D32" s="2" t="s">
        <v>121</v>
      </c>
      <c r="E32" s="6" t="s">
        <v>122</v>
      </c>
      <c r="F32" s="6"/>
    </row>
    <row r="33" spans="1:6" ht="15" customHeight="1" x14ac:dyDescent="0.35">
      <c r="A33" s="2"/>
      <c r="B33" s="2" t="s">
        <v>123</v>
      </c>
      <c r="C33" s="33">
        <v>8</v>
      </c>
      <c r="D33" s="2" t="s">
        <v>124</v>
      </c>
      <c r="E33" s="6" t="s">
        <v>125</v>
      </c>
      <c r="F33" s="6" t="s">
        <v>126</v>
      </c>
    </row>
    <row r="34" spans="1:6" ht="15" customHeight="1" x14ac:dyDescent="0.35">
      <c r="A34" s="27" t="s">
        <v>127</v>
      </c>
      <c r="B34" s="27"/>
      <c r="C34" s="27"/>
      <c r="D34" s="27"/>
      <c r="E34" s="27"/>
      <c r="F34" s="27"/>
    </row>
    <row r="35" spans="1:6" ht="15" customHeight="1" x14ac:dyDescent="0.35">
      <c r="A35" s="2"/>
      <c r="B35" s="2" t="s">
        <v>128</v>
      </c>
      <c r="C35" s="33">
        <v>8</v>
      </c>
      <c r="D35" s="2" t="s">
        <v>129</v>
      </c>
      <c r="E35" s="6" t="s">
        <v>130</v>
      </c>
      <c r="F35" s="6" t="s">
        <v>131</v>
      </c>
    </row>
    <row r="36" spans="1:6" ht="15" customHeight="1" x14ac:dyDescent="0.35">
      <c r="A36" s="2"/>
      <c r="B36" s="2" t="s">
        <v>132</v>
      </c>
      <c r="C36" s="33">
        <v>5</v>
      </c>
      <c r="D36" s="2" t="s">
        <v>133</v>
      </c>
      <c r="E36" s="6" t="s">
        <v>134</v>
      </c>
      <c r="F36" s="6"/>
    </row>
    <row r="37" spans="1:6" ht="15" customHeight="1" x14ac:dyDescent="0.35">
      <c r="A37" s="2"/>
      <c r="B37" s="2" t="s">
        <v>135</v>
      </c>
      <c r="C37" s="32">
        <v>4000</v>
      </c>
      <c r="D37" s="2" t="s">
        <v>66</v>
      </c>
      <c r="E37" s="6" t="s">
        <v>136</v>
      </c>
      <c r="F37" s="6"/>
    </row>
    <row r="38" spans="1:6" ht="15" customHeight="1" x14ac:dyDescent="0.35">
      <c r="A38" s="2"/>
      <c r="B38" s="2" t="s">
        <v>137</v>
      </c>
      <c r="C38" s="34">
        <v>0.2</v>
      </c>
      <c r="D38" s="2" t="s">
        <v>138</v>
      </c>
      <c r="E38" s="6" t="s">
        <v>77</v>
      </c>
      <c r="F38" s="6" t="s">
        <v>139</v>
      </c>
    </row>
    <row r="39" spans="1:6" ht="15" customHeight="1" x14ac:dyDescent="0.35">
      <c r="A39" s="2"/>
      <c r="B39" s="2" t="s">
        <v>140</v>
      </c>
      <c r="C39" s="34">
        <v>0.7</v>
      </c>
      <c r="D39" s="2" t="s">
        <v>141</v>
      </c>
      <c r="E39" s="6" t="s">
        <v>142</v>
      </c>
      <c r="F39" s="6" t="s">
        <v>143</v>
      </c>
    </row>
    <row r="40" spans="1:6" ht="15" customHeight="1" x14ac:dyDescent="0.35">
      <c r="A40" s="27" t="s">
        <v>144</v>
      </c>
      <c r="B40" s="27"/>
      <c r="C40" s="27"/>
      <c r="D40" s="27"/>
      <c r="E40" s="27"/>
      <c r="F40" s="27"/>
    </row>
    <row r="41" spans="1:6" ht="15" customHeight="1" x14ac:dyDescent="0.35">
      <c r="A41" s="2"/>
      <c r="B41" s="2" t="s">
        <v>145</v>
      </c>
      <c r="C41" s="34">
        <v>0.08</v>
      </c>
      <c r="D41" s="2" t="s">
        <v>146</v>
      </c>
      <c r="E41" s="6" t="s">
        <v>147</v>
      </c>
      <c r="F41" s="6" t="s">
        <v>148</v>
      </c>
    </row>
    <row r="42" spans="1:6" ht="15" customHeight="1" x14ac:dyDescent="0.35">
      <c r="A42" s="2"/>
      <c r="B42" s="2" t="s">
        <v>149</v>
      </c>
      <c r="C42" s="34">
        <v>2.5000000000000001E-2</v>
      </c>
      <c r="D42" s="2" t="s">
        <v>61</v>
      </c>
      <c r="E42" s="6" t="s">
        <v>150</v>
      </c>
      <c r="F42" s="6" t="s">
        <v>151</v>
      </c>
    </row>
    <row r="43" spans="1:6" ht="15" customHeight="1" x14ac:dyDescent="0.35">
      <c r="A43" s="2"/>
      <c r="B43" s="2" t="s">
        <v>152</v>
      </c>
      <c r="C43" s="33">
        <v>4</v>
      </c>
      <c r="D43" s="2" t="s">
        <v>124</v>
      </c>
      <c r="E43" s="6" t="s">
        <v>147</v>
      </c>
      <c r="F43" s="6" t="s">
        <v>153</v>
      </c>
    </row>
  </sheetData>
  <mergeCells count="8">
    <mergeCell ref="A26:F26"/>
    <mergeCell ref="A34:F34"/>
    <mergeCell ref="A40:F40"/>
    <mergeCell ref="A1:F1"/>
    <mergeCell ref="A4:F4"/>
    <mergeCell ref="A9:F9"/>
    <mergeCell ref="A11:F11"/>
    <mergeCell ref="A18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8" sqref="A8"/>
    </sheetView>
  </sheetViews>
  <sheetFormatPr defaultColWidth="8.7265625" defaultRowHeight="14.5" x14ac:dyDescent="0.35"/>
  <cols>
    <col min="1" max="1" width="38" customWidth="1"/>
    <col min="2" max="7" width="16" customWidth="1"/>
  </cols>
  <sheetData>
    <row r="1" spans="1:8" ht="25.5" customHeight="1" x14ac:dyDescent="0.35">
      <c r="A1" s="28" t="s">
        <v>154</v>
      </c>
      <c r="B1" s="28"/>
      <c r="C1" s="28"/>
      <c r="D1" s="28"/>
      <c r="E1" s="28"/>
      <c r="F1" s="28"/>
      <c r="G1" s="28"/>
      <c r="H1" s="28"/>
    </row>
    <row r="3" spans="1:8" ht="15" customHeight="1" x14ac:dyDescent="0.35">
      <c r="A3" s="6" t="s">
        <v>155</v>
      </c>
    </row>
    <row r="5" spans="1:8" ht="15" customHeight="1" x14ac:dyDescent="0.35">
      <c r="A5" s="7" t="s">
        <v>156</v>
      </c>
      <c r="B5" s="8" t="s">
        <v>157</v>
      </c>
      <c r="C5" s="8" t="s">
        <v>158</v>
      </c>
      <c r="D5" s="8" t="s">
        <v>159</v>
      </c>
      <c r="E5" s="8" t="s">
        <v>160</v>
      </c>
      <c r="F5" s="8" t="s">
        <v>161</v>
      </c>
      <c r="G5" s="8" t="s">
        <v>162</v>
      </c>
    </row>
    <row r="6" spans="1:8" ht="15" customHeight="1" x14ac:dyDescent="0.35">
      <c r="A6" s="2" t="s">
        <v>163</v>
      </c>
      <c r="B6" s="9">
        <v>0</v>
      </c>
      <c r="C6" s="10">
        <f>-Assumptions!$C$5*(1+Assumptions!$C$10)^0</f>
        <v>-120000</v>
      </c>
      <c r="D6" s="10">
        <f>-Assumptions!$C$5*(1+Assumptions!$C$10)^1</f>
        <v>-138000</v>
      </c>
      <c r="E6" s="10">
        <f>-Assumptions!$C$5*(1+Assumptions!$C$10)^2</f>
        <v>-158699.99999999997</v>
      </c>
      <c r="F6" s="10">
        <f>-Assumptions!$C$5*(1+Assumptions!$C$10)^3</f>
        <v>-182504.99999999994</v>
      </c>
      <c r="G6" s="10">
        <f>-Assumptions!$C$5*(1+Assumptions!$C$10)^4</f>
        <v>-209880.74999999994</v>
      </c>
    </row>
    <row r="7" spans="1:8" ht="15" customHeight="1" x14ac:dyDescent="0.35">
      <c r="A7" s="2" t="s">
        <v>164</v>
      </c>
      <c r="B7" s="9">
        <v>0</v>
      </c>
      <c r="C7" s="10">
        <f>-Assumptions!$C$7*(1+Assumptions!$C$42)^0</f>
        <v>-80000</v>
      </c>
      <c r="D7" s="10">
        <f>-Assumptions!$C$7*(1+Assumptions!$C$42)^1</f>
        <v>-82000</v>
      </c>
      <c r="E7" s="10">
        <f>-Assumptions!$C$7*(1+Assumptions!$C$42)^2</f>
        <v>-84050</v>
      </c>
      <c r="F7" s="10">
        <f>-Assumptions!$C$7*(1+Assumptions!$C$42)^3</f>
        <v>-86151.249999999985</v>
      </c>
      <c r="G7" s="10">
        <f>-Assumptions!$C$7*(1+Assumptions!$C$42)^4</f>
        <v>-88305.031249999985</v>
      </c>
    </row>
    <row r="8" spans="1:8" ht="15" customHeight="1" x14ac:dyDescent="0.35">
      <c r="A8" s="2" t="s">
        <v>165</v>
      </c>
      <c r="B8" s="9">
        <v>0</v>
      </c>
      <c r="C8" s="10">
        <f>-Assumptions!$C$8*(1+Assumptions!$C$42)^0</f>
        <v>-15000</v>
      </c>
      <c r="D8" s="10">
        <f>-Assumptions!$C$8*(1+Assumptions!$C$42)^1</f>
        <v>-15374.999999999998</v>
      </c>
      <c r="E8" s="10">
        <f>-Assumptions!$C$8*(1+Assumptions!$C$42)^2</f>
        <v>-15759.374999999998</v>
      </c>
      <c r="F8" s="10">
        <f>-Assumptions!$C$8*(1+Assumptions!$C$42)^3</f>
        <v>-16153.359374999998</v>
      </c>
      <c r="G8" s="10">
        <f>-Assumptions!$C$8*(1+Assumptions!$C$42)^4</f>
        <v>-16557.193359374996</v>
      </c>
    </row>
    <row r="9" spans="1:8" ht="15" customHeight="1" x14ac:dyDescent="0.35">
      <c r="A9" s="11" t="s">
        <v>166</v>
      </c>
      <c r="B9" s="12">
        <f t="shared" ref="B9:G9" si="0">SUM(B6:B8)</f>
        <v>0</v>
      </c>
      <c r="C9" s="12">
        <f t="shared" si="0"/>
        <v>-215000</v>
      </c>
      <c r="D9" s="12">
        <f t="shared" si="0"/>
        <v>-235375</v>
      </c>
      <c r="E9" s="12">
        <f t="shared" si="0"/>
        <v>-258509.37499999997</v>
      </c>
      <c r="F9" s="12">
        <f t="shared" si="0"/>
        <v>-284809.60937499994</v>
      </c>
      <c r="G9" s="12">
        <f t="shared" si="0"/>
        <v>-314742.97460937494</v>
      </c>
    </row>
    <row r="10" spans="1:8" ht="15" customHeight="1" x14ac:dyDescent="0.35">
      <c r="A10" s="3" t="s">
        <v>167</v>
      </c>
      <c r="B10" s="13">
        <f>B9</f>
        <v>0</v>
      </c>
      <c r="C10" s="13">
        <f>B10+C9</f>
        <v>-215000</v>
      </c>
      <c r="D10" s="13">
        <f>C10+D9</f>
        <v>-450375</v>
      </c>
      <c r="E10" s="13">
        <f>D10+E9</f>
        <v>-708884.375</v>
      </c>
      <c r="F10" s="13">
        <f>E10+F9</f>
        <v>-993693.984375</v>
      </c>
      <c r="G10" s="13">
        <f>F10+G9</f>
        <v>-1308436.958984375</v>
      </c>
    </row>
    <row r="12" spans="1:8" ht="15" customHeight="1" x14ac:dyDescent="0.35">
      <c r="A12" s="3" t="s">
        <v>168</v>
      </c>
      <c r="B12" s="14">
        <f>G10</f>
        <v>-1308436.958984375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showGridLines="0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defaultColWidth="8.7265625" defaultRowHeight="14.5" x14ac:dyDescent="0.35"/>
  <cols>
    <col min="1" max="1" width="42" customWidth="1"/>
    <col min="2" max="7" width="16" customWidth="1"/>
  </cols>
  <sheetData>
    <row r="1" spans="1:8" ht="25.5" customHeight="1" x14ac:dyDescent="0.35">
      <c r="A1" s="28" t="s">
        <v>169</v>
      </c>
      <c r="B1" s="28"/>
      <c r="C1" s="28"/>
      <c r="D1" s="28"/>
      <c r="E1" s="28"/>
      <c r="F1" s="28"/>
      <c r="G1" s="28"/>
      <c r="H1" s="28"/>
    </row>
    <row r="5" spans="1:8" ht="15" customHeight="1" x14ac:dyDescent="0.35">
      <c r="A5" s="7" t="s">
        <v>156</v>
      </c>
      <c r="B5" s="8" t="s">
        <v>157</v>
      </c>
      <c r="C5" s="8" t="s">
        <v>158</v>
      </c>
      <c r="D5" s="8" t="s">
        <v>159</v>
      </c>
      <c r="E5" s="8" t="s">
        <v>160</v>
      </c>
      <c r="F5" s="8" t="s">
        <v>161</v>
      </c>
      <c r="G5" s="8" t="s">
        <v>162</v>
      </c>
    </row>
    <row r="6" spans="1:8" ht="15" customHeight="1" x14ac:dyDescent="0.35">
      <c r="A6" s="5" t="s">
        <v>170</v>
      </c>
    </row>
    <row r="7" spans="1:8" ht="15" customHeight="1" x14ac:dyDescent="0.35">
      <c r="A7" s="2" t="s">
        <v>171</v>
      </c>
      <c r="B7" s="10">
        <f>-Assumptions!$C$12</f>
        <v>-300000</v>
      </c>
    </row>
    <row r="8" spans="1:8" ht="15" customHeight="1" x14ac:dyDescent="0.35">
      <c r="A8" s="2" t="s">
        <v>172</v>
      </c>
      <c r="B8" s="10">
        <f>-Assumptions!$C$12*Assumptions!$C$13</f>
        <v>-36000</v>
      </c>
    </row>
    <row r="9" spans="1:8" ht="15" customHeight="1" x14ac:dyDescent="0.35">
      <c r="A9" s="2" t="s">
        <v>173</v>
      </c>
      <c r="B9" s="10">
        <f>-Assumptions!$C$14*Assumptions!$C$32</f>
        <v>-10000</v>
      </c>
    </row>
    <row r="10" spans="1:8" ht="15" customHeight="1" x14ac:dyDescent="0.35">
      <c r="A10" s="2" t="s">
        <v>174</v>
      </c>
      <c r="B10" s="10">
        <f>-Assumptions!$C$15</f>
        <v>-25000</v>
      </c>
    </row>
    <row r="11" spans="1:8" ht="15" customHeight="1" x14ac:dyDescent="0.35">
      <c r="A11" s="11" t="s">
        <v>175</v>
      </c>
      <c r="B11" s="12">
        <f>SUM(B7:B10)</f>
        <v>-371000</v>
      </c>
    </row>
    <row r="13" spans="1:8" ht="15" customHeight="1" x14ac:dyDescent="0.35">
      <c r="A13" s="5" t="s">
        <v>176</v>
      </c>
    </row>
    <row r="14" spans="1:8" ht="15" customHeight="1" x14ac:dyDescent="0.35">
      <c r="A14" s="2" t="s">
        <v>177</v>
      </c>
      <c r="C14" s="10">
        <f>-Assumptions!$C$27*Assumptions!$C$28*Assumptions!$C$29*(1+Assumptions!$C$42)^0</f>
        <v>-6480</v>
      </c>
      <c r="D14" s="10">
        <f>-Assumptions!$C$27*Assumptions!$C$28*Assumptions!$C$29*(1+Assumptions!$C$42)^1</f>
        <v>-6641.9999999999991</v>
      </c>
      <c r="E14" s="10">
        <f>-Assumptions!$C$27*Assumptions!$C$28*Assumptions!$C$29*(1+Assumptions!$C$42)^2</f>
        <v>-6808.0499999999993</v>
      </c>
      <c r="F14" s="10">
        <f>-Assumptions!$C$27*Assumptions!$C$28*Assumptions!$C$29*(1+Assumptions!$C$42)^3</f>
        <v>-6978.2512499999993</v>
      </c>
      <c r="G14" s="10">
        <f>-Assumptions!$C$27*Assumptions!$C$28*Assumptions!$C$29*(1+Assumptions!$C$42)^4</f>
        <v>-7152.7075312499983</v>
      </c>
    </row>
    <row r="15" spans="1:8" ht="15" customHeight="1" x14ac:dyDescent="0.35">
      <c r="A15" s="2" t="s">
        <v>178</v>
      </c>
      <c r="C15" s="10">
        <f>-Assumptions!$C$27*Assumptions!$C$30*(1+Assumptions!$C$42)^0</f>
        <v>-9000</v>
      </c>
      <c r="D15" s="10">
        <f>-Assumptions!$C$27*Assumptions!$C$30*(1+Assumptions!$C$42)^1</f>
        <v>-9225</v>
      </c>
      <c r="E15" s="10">
        <f>-Assumptions!$C$27*Assumptions!$C$30*(1+Assumptions!$C$42)^2</f>
        <v>-9455.625</v>
      </c>
      <c r="F15" s="10">
        <f>-Assumptions!$C$27*Assumptions!$C$30*(1+Assumptions!$C$42)^3</f>
        <v>-9692.0156249999982</v>
      </c>
      <c r="G15" s="10">
        <f>-Assumptions!$C$27*Assumptions!$C$30*(1+Assumptions!$C$42)^4</f>
        <v>-9934.3160156249978</v>
      </c>
    </row>
    <row r="16" spans="1:8" ht="15" customHeight="1" x14ac:dyDescent="0.35">
      <c r="A16" s="2" t="s">
        <v>179</v>
      </c>
      <c r="C16" s="10">
        <f>-Assumptions!$C$12*Assumptions!$C$16*(1+Assumptions!$C$42)^0</f>
        <v>-18000</v>
      </c>
      <c r="D16" s="10">
        <f>-Assumptions!$C$12*Assumptions!$C$16*(1+Assumptions!$C$42)^1</f>
        <v>-18450</v>
      </c>
      <c r="E16" s="10">
        <f>-Assumptions!$C$12*Assumptions!$C$16*(1+Assumptions!$C$42)^2</f>
        <v>-18911.25</v>
      </c>
      <c r="F16" s="10">
        <f>-Assumptions!$C$12*Assumptions!$C$16*(1+Assumptions!$C$42)^3</f>
        <v>-19384.031249999996</v>
      </c>
      <c r="G16" s="10">
        <f>-Assumptions!$C$12*Assumptions!$C$16*(1+Assumptions!$C$42)^4</f>
        <v>-19868.632031249996</v>
      </c>
    </row>
    <row r="17" spans="1:7" ht="15" customHeight="1" x14ac:dyDescent="0.35">
      <c r="A17" s="2" t="s">
        <v>180</v>
      </c>
      <c r="C17" s="10">
        <f>-Assumptions!$C$31*Assumptions!$C$32*(1+Assumptions!$C$42)^0</f>
        <v>-35000</v>
      </c>
      <c r="D17" s="10">
        <f>-Assumptions!$C$31*Assumptions!$C$32*(1+Assumptions!$C$42)^1</f>
        <v>-35875</v>
      </c>
      <c r="E17" s="10">
        <f>-Assumptions!$C$31*Assumptions!$C$32*(1+Assumptions!$C$42)^2</f>
        <v>-36771.875</v>
      </c>
      <c r="F17" s="10">
        <f>-Assumptions!$C$31*Assumptions!$C$32*(1+Assumptions!$C$42)^3</f>
        <v>-37691.171874999993</v>
      </c>
      <c r="G17" s="10">
        <f>-Assumptions!$C$31*Assumptions!$C$32*(1+Assumptions!$C$42)^4</f>
        <v>-38633.451171874993</v>
      </c>
    </row>
    <row r="18" spans="1:7" ht="15" customHeight="1" x14ac:dyDescent="0.35">
      <c r="A18" s="11" t="s">
        <v>181</v>
      </c>
      <c r="C18" s="12">
        <f>SUM(C14:C17)</f>
        <v>-68480</v>
      </c>
      <c r="D18" s="12">
        <f>SUM(D14:D17)</f>
        <v>-70192</v>
      </c>
      <c r="E18" s="12">
        <f>SUM(E14:E17)</f>
        <v>-71946.8</v>
      </c>
      <c r="F18" s="12">
        <f>SUM(F14:F17)</f>
        <v>-73745.469999999987</v>
      </c>
      <c r="G18" s="12">
        <f>SUM(G14:G17)</f>
        <v>-75589.106749999977</v>
      </c>
    </row>
    <row r="20" spans="1:7" ht="15" customHeight="1" x14ac:dyDescent="0.35">
      <c r="A20" s="15" t="s">
        <v>182</v>
      </c>
      <c r="B20" s="14">
        <f>B11</f>
        <v>-371000</v>
      </c>
      <c r="C20" s="14">
        <f>C18</f>
        <v>-68480</v>
      </c>
      <c r="D20" s="14">
        <f>D18</f>
        <v>-70192</v>
      </c>
      <c r="E20" s="14">
        <f>E18</f>
        <v>-71946.8</v>
      </c>
      <c r="F20" s="14">
        <f>F18</f>
        <v>-73745.469999999987</v>
      </c>
      <c r="G20" s="14">
        <f>G18</f>
        <v>-75589.106749999977</v>
      </c>
    </row>
    <row r="21" spans="1:7" ht="15" customHeight="1" x14ac:dyDescent="0.35">
      <c r="A21" s="3" t="s">
        <v>167</v>
      </c>
      <c r="B21" s="13">
        <f>B20</f>
        <v>-371000</v>
      </c>
      <c r="C21" s="13">
        <f>B21+C20</f>
        <v>-439480</v>
      </c>
      <c r="D21" s="13">
        <f>C21+D20</f>
        <v>-509672</v>
      </c>
      <c r="E21" s="13">
        <f>D21+E20</f>
        <v>-581618.80000000005</v>
      </c>
      <c r="F21" s="13">
        <f>E21+F20</f>
        <v>-655364.27</v>
      </c>
      <c r="G21" s="13">
        <f>F21+G20</f>
        <v>-730953.37675000005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showGridLines="0" zoomScaleNormal="100" workbookViewId="0">
      <pane xSplit="1" ySplit="5" topLeftCell="B11" activePane="bottomRight" state="frozen"/>
      <selection pane="topRight" activeCell="B1" sqref="B1"/>
      <selection pane="bottomLeft" activeCell="A6" sqref="A6"/>
      <selection pane="bottomRight" activeCell="A23" sqref="A23"/>
    </sheetView>
  </sheetViews>
  <sheetFormatPr defaultColWidth="8.7265625" defaultRowHeight="14.5" x14ac:dyDescent="0.35"/>
  <cols>
    <col min="1" max="1" width="42" customWidth="1"/>
    <col min="2" max="7" width="16" customWidth="1"/>
  </cols>
  <sheetData>
    <row r="1" spans="1:8" ht="25.5" customHeight="1" x14ac:dyDescent="0.35">
      <c r="A1" s="28" t="s">
        <v>183</v>
      </c>
      <c r="B1" s="28"/>
      <c r="C1" s="28"/>
      <c r="D1" s="28"/>
      <c r="E1" s="28"/>
      <c r="F1" s="28"/>
      <c r="G1" s="28"/>
      <c r="H1" s="28"/>
    </row>
    <row r="5" spans="1:8" ht="15" customHeight="1" x14ac:dyDescent="0.35">
      <c r="A5" s="7" t="s">
        <v>156</v>
      </c>
      <c r="B5" s="8" t="s">
        <v>157</v>
      </c>
      <c r="C5" s="8" t="s">
        <v>158</v>
      </c>
      <c r="D5" s="8" t="s">
        <v>159</v>
      </c>
      <c r="E5" s="8" t="s">
        <v>160</v>
      </c>
      <c r="F5" s="8" t="s">
        <v>161</v>
      </c>
      <c r="G5" s="8" t="s">
        <v>162</v>
      </c>
    </row>
    <row r="6" spans="1:8" ht="15" customHeight="1" x14ac:dyDescent="0.35">
      <c r="A6" s="5" t="s">
        <v>170</v>
      </c>
    </row>
    <row r="7" spans="1:8" ht="15" customHeight="1" x14ac:dyDescent="0.35">
      <c r="A7" s="2" t="s">
        <v>171</v>
      </c>
      <c r="B7" s="10">
        <f>-Assumptions!$C$19</f>
        <v>-110000</v>
      </c>
    </row>
    <row r="8" spans="1:8" ht="15" customHeight="1" x14ac:dyDescent="0.35">
      <c r="A8" s="2" t="s">
        <v>172</v>
      </c>
      <c r="B8" s="10">
        <f>-Assumptions!$C$19*Assumptions!$C$20</f>
        <v>-22000</v>
      </c>
    </row>
    <row r="9" spans="1:8" ht="15" customHeight="1" x14ac:dyDescent="0.35">
      <c r="A9" s="2" t="s">
        <v>173</v>
      </c>
      <c r="B9" s="10">
        <f>-Assumptions!$C$21*Assumptions!$C$32</f>
        <v>-8000</v>
      </c>
    </row>
    <row r="10" spans="1:8" ht="15" customHeight="1" x14ac:dyDescent="0.35">
      <c r="A10" s="2" t="s">
        <v>174</v>
      </c>
      <c r="B10" s="10">
        <f>-Assumptions!$C$23</f>
        <v>-25000</v>
      </c>
    </row>
    <row r="11" spans="1:8" ht="15" customHeight="1" x14ac:dyDescent="0.35">
      <c r="A11" s="2" t="s">
        <v>184</v>
      </c>
      <c r="B11" s="10">
        <f>-Assumptions!$C$22</f>
        <v>-12000</v>
      </c>
    </row>
    <row r="12" spans="1:8" ht="15" customHeight="1" x14ac:dyDescent="0.35">
      <c r="A12" s="11" t="s">
        <v>175</v>
      </c>
      <c r="B12" s="12">
        <f>SUM(B7:B11)</f>
        <v>-177000</v>
      </c>
    </row>
    <row r="14" spans="1:8" ht="15" customHeight="1" x14ac:dyDescent="0.35">
      <c r="A14" s="5" t="s">
        <v>176</v>
      </c>
    </row>
    <row r="15" spans="1:8" ht="15" customHeight="1" x14ac:dyDescent="0.35">
      <c r="A15" s="2" t="s">
        <v>177</v>
      </c>
      <c r="C15" s="10">
        <f>-Assumptions!$C$27*Assumptions!$C$28*Assumptions!$C$29*(1+Assumptions!$C$42)^0</f>
        <v>-6480</v>
      </c>
      <c r="D15" s="10">
        <f>-Assumptions!$C$27*Assumptions!$C$28*Assumptions!$C$29*(1+Assumptions!$C$42)^1</f>
        <v>-6641.9999999999991</v>
      </c>
      <c r="E15" s="10">
        <f>-Assumptions!$C$27*Assumptions!$C$28*Assumptions!$C$29*(1+Assumptions!$C$42)^2</f>
        <v>-6808.0499999999993</v>
      </c>
      <c r="F15" s="10">
        <f>-Assumptions!$C$27*Assumptions!$C$28*Assumptions!$C$29*(1+Assumptions!$C$42)^3</f>
        <v>-6978.2512499999993</v>
      </c>
      <c r="G15" s="10">
        <f>-Assumptions!$C$27*Assumptions!$C$28*Assumptions!$C$29*(1+Assumptions!$C$42)^4</f>
        <v>-7152.7075312499983</v>
      </c>
    </row>
    <row r="16" spans="1:8" ht="15" customHeight="1" x14ac:dyDescent="0.35">
      <c r="A16" s="2" t="s">
        <v>178</v>
      </c>
      <c r="C16" s="10">
        <f>-Assumptions!$C$27*Assumptions!$C$30*(1+Assumptions!$C$42)^0</f>
        <v>-9000</v>
      </c>
      <c r="D16" s="10">
        <f>-Assumptions!$C$27*Assumptions!$C$30*(1+Assumptions!$C$42)^1</f>
        <v>-9225</v>
      </c>
      <c r="E16" s="10">
        <f>-Assumptions!$C$27*Assumptions!$C$30*(1+Assumptions!$C$42)^2</f>
        <v>-9455.625</v>
      </c>
      <c r="F16" s="10">
        <f>-Assumptions!$C$27*Assumptions!$C$30*(1+Assumptions!$C$42)^3</f>
        <v>-9692.0156249999982</v>
      </c>
      <c r="G16" s="10">
        <f>-Assumptions!$C$27*Assumptions!$C$30*(1+Assumptions!$C$42)^4</f>
        <v>-9934.3160156249978</v>
      </c>
    </row>
    <row r="17" spans="1:7" ht="15" customHeight="1" x14ac:dyDescent="0.35">
      <c r="A17" s="2" t="s">
        <v>179</v>
      </c>
      <c r="C17" s="10">
        <f>-Assumptions!$C$19*Assumptions!$C$24*(1+Assumptions!$C$42)^0</f>
        <v>-4400</v>
      </c>
      <c r="D17" s="10">
        <f>-Assumptions!$C$19*Assumptions!$C$24*(1+Assumptions!$C$42)^1</f>
        <v>-4510</v>
      </c>
      <c r="E17" s="10">
        <f>-Assumptions!$C$19*Assumptions!$C$24*(1+Assumptions!$C$42)^2</f>
        <v>-4622.75</v>
      </c>
      <c r="F17" s="10">
        <f>-Assumptions!$C$19*Assumptions!$C$24*(1+Assumptions!$C$42)^3</f>
        <v>-4738.3187499999995</v>
      </c>
      <c r="G17" s="10">
        <f>-Assumptions!$C$19*Assumptions!$C$24*(1+Assumptions!$C$42)^4</f>
        <v>-4856.7767187499994</v>
      </c>
    </row>
    <row r="18" spans="1:7" ht="15" customHeight="1" x14ac:dyDescent="0.35">
      <c r="A18" s="2" t="s">
        <v>180</v>
      </c>
      <c r="C18" s="10">
        <f>-Assumptions!$C$31*Assumptions!$C$32*(1+Assumptions!$C$42)^0</f>
        <v>-35000</v>
      </c>
      <c r="D18" s="10">
        <f>-Assumptions!$C$31*Assumptions!$C$32*(1+Assumptions!$C$42)^1</f>
        <v>-35875</v>
      </c>
      <c r="E18" s="10">
        <f>-Assumptions!$C$31*Assumptions!$C$32*(1+Assumptions!$C$42)^2</f>
        <v>-36771.875</v>
      </c>
      <c r="F18" s="10">
        <f>-Assumptions!$C$31*Assumptions!$C$32*(1+Assumptions!$C$42)^3</f>
        <v>-37691.171874999993</v>
      </c>
      <c r="G18" s="10">
        <f>-Assumptions!$C$31*Assumptions!$C$32*(1+Assumptions!$C$42)^4</f>
        <v>-38633.451171874993</v>
      </c>
    </row>
    <row r="19" spans="1:7" ht="15" customHeight="1" x14ac:dyDescent="0.35">
      <c r="A19" s="11" t="s">
        <v>181</v>
      </c>
      <c r="C19" s="12">
        <f>SUM(C15:C18)</f>
        <v>-54880</v>
      </c>
      <c r="D19" s="12">
        <f>SUM(D15:D18)</f>
        <v>-56252</v>
      </c>
      <c r="E19" s="12">
        <f>SUM(E15:E18)</f>
        <v>-57658.3</v>
      </c>
      <c r="F19" s="12">
        <f>SUM(F15:F18)</f>
        <v>-59099.757499999992</v>
      </c>
      <c r="G19" s="12">
        <f>SUM(G15:G18)</f>
        <v>-60577.251437499988</v>
      </c>
    </row>
    <row r="21" spans="1:7" ht="15" customHeight="1" x14ac:dyDescent="0.35">
      <c r="A21" s="15" t="s">
        <v>182</v>
      </c>
      <c r="B21" s="14">
        <f>B12</f>
        <v>-177000</v>
      </c>
      <c r="C21" s="14">
        <f>C19</f>
        <v>-54880</v>
      </c>
      <c r="D21" s="14">
        <f>D19</f>
        <v>-56252</v>
      </c>
      <c r="E21" s="14">
        <f>E19</f>
        <v>-57658.3</v>
      </c>
      <c r="F21" s="14">
        <f>F19</f>
        <v>-59099.757499999992</v>
      </c>
      <c r="G21" s="14">
        <f>G19</f>
        <v>-60577.251437499988</v>
      </c>
    </row>
    <row r="22" spans="1:7" ht="15" customHeight="1" x14ac:dyDescent="0.35">
      <c r="A22" s="3" t="s">
        <v>167</v>
      </c>
      <c r="B22" s="13">
        <f>B21</f>
        <v>-177000</v>
      </c>
      <c r="C22" s="13">
        <f>B22+C21</f>
        <v>-231880</v>
      </c>
      <c r="D22" s="13">
        <f>C22+D21</f>
        <v>-288132</v>
      </c>
      <c r="E22" s="13">
        <f>D22+E21</f>
        <v>-345790.3</v>
      </c>
      <c r="F22" s="13">
        <f>E22+F21</f>
        <v>-404890.0575</v>
      </c>
      <c r="G22" s="13">
        <f>F22+G21</f>
        <v>-465467.3089375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4" sqref="B4"/>
    </sheetView>
  </sheetViews>
  <sheetFormatPr defaultColWidth="8.7265625" defaultRowHeight="14.5" x14ac:dyDescent="0.35"/>
  <cols>
    <col min="1" max="1" width="42" customWidth="1"/>
    <col min="2" max="7" width="14" customWidth="1"/>
    <col min="8" max="8" width="16" customWidth="1"/>
  </cols>
  <sheetData>
    <row r="1" spans="1:8" ht="25.5" customHeight="1" x14ac:dyDescent="0.35">
      <c r="A1" s="28" t="s">
        <v>185</v>
      </c>
      <c r="B1" s="28"/>
      <c r="C1" s="28"/>
      <c r="D1" s="28"/>
      <c r="E1" s="28"/>
      <c r="F1" s="28"/>
      <c r="G1" s="28"/>
      <c r="H1" s="28"/>
    </row>
    <row r="3" spans="1:8" ht="15" customHeight="1" x14ac:dyDescent="0.35">
      <c r="A3" s="6" t="s">
        <v>186</v>
      </c>
    </row>
    <row r="5" spans="1:8" ht="15" customHeight="1" x14ac:dyDescent="0.35">
      <c r="A5" s="7" t="s">
        <v>187</v>
      </c>
      <c r="B5" s="8" t="s">
        <v>157</v>
      </c>
      <c r="C5" s="8" t="s">
        <v>158</v>
      </c>
      <c r="D5" s="8" t="s">
        <v>159</v>
      </c>
      <c r="E5" s="8" t="s">
        <v>160</v>
      </c>
      <c r="F5" s="8" t="s">
        <v>161</v>
      </c>
      <c r="G5" s="8" t="s">
        <v>162</v>
      </c>
      <c r="H5" s="8" t="s">
        <v>188</v>
      </c>
    </row>
    <row r="6" spans="1:8" ht="15" customHeight="1" x14ac:dyDescent="0.35">
      <c r="A6" s="2" t="s">
        <v>189</v>
      </c>
      <c r="B6" s="10">
        <f>'Current State'!B9</f>
        <v>0</v>
      </c>
      <c r="C6" s="10">
        <f>'Current State'!C9</f>
        <v>-215000</v>
      </c>
      <c r="D6" s="10">
        <f>'Current State'!D9</f>
        <v>-235375</v>
      </c>
      <c r="E6" s="10">
        <f>'Current State'!E9</f>
        <v>-258509.37499999997</v>
      </c>
      <c r="F6" s="10">
        <f>'Current State'!F9</f>
        <v>-284809.60937499994</v>
      </c>
      <c r="G6" s="10">
        <f>'Current State'!G9</f>
        <v>-314742.97460937494</v>
      </c>
      <c r="H6" s="13">
        <f>SUM(B6:G6)</f>
        <v>-1308436.958984375</v>
      </c>
    </row>
    <row r="7" spans="1:8" ht="15" customHeight="1" x14ac:dyDescent="0.35">
      <c r="A7" s="2" t="s">
        <v>190</v>
      </c>
      <c r="B7" s="10">
        <f>'EU Insource'!B20</f>
        <v>-371000</v>
      </c>
      <c r="C7" s="10">
        <f>'EU Insource'!C20</f>
        <v>-68480</v>
      </c>
      <c r="D7" s="10">
        <f>'EU Insource'!D20</f>
        <v>-70192</v>
      </c>
      <c r="E7" s="10">
        <f>'EU Insource'!E20</f>
        <v>-71946.8</v>
      </c>
      <c r="F7" s="10">
        <f>'EU Insource'!F20</f>
        <v>-73745.469999999987</v>
      </c>
      <c r="G7" s="10">
        <f>'EU Insource'!G20</f>
        <v>-75589.106749999977</v>
      </c>
      <c r="H7" s="13">
        <f>SUM(B7:G7)</f>
        <v>-730953.37675000005</v>
      </c>
    </row>
    <row r="8" spans="1:8" ht="15" customHeight="1" x14ac:dyDescent="0.35">
      <c r="A8" s="2" t="s">
        <v>191</v>
      </c>
      <c r="B8" s="10">
        <f>'China Insource'!B21</f>
        <v>-177000</v>
      </c>
      <c r="C8" s="10">
        <f>'China Insource'!C21</f>
        <v>-54880</v>
      </c>
      <c r="D8" s="10">
        <f>'China Insource'!D21</f>
        <v>-56252</v>
      </c>
      <c r="E8" s="10">
        <f>'China Insource'!E21</f>
        <v>-57658.3</v>
      </c>
      <c r="F8" s="10">
        <f>'China Insource'!F21</f>
        <v>-59099.757499999992</v>
      </c>
      <c r="G8" s="10">
        <f>'China Insource'!G21</f>
        <v>-60577.251437499988</v>
      </c>
      <c r="H8" s="13">
        <f>SUM(B8:G8)</f>
        <v>-465467.3089375</v>
      </c>
    </row>
    <row r="10" spans="1:8" ht="15" customHeight="1" x14ac:dyDescent="0.35">
      <c r="A10" s="5" t="s">
        <v>192</v>
      </c>
      <c r="B10" s="16"/>
      <c r="C10" s="16"/>
      <c r="D10" s="16"/>
      <c r="E10" s="16"/>
      <c r="F10" s="16"/>
      <c r="G10" s="16"/>
      <c r="H10" s="16"/>
    </row>
    <row r="11" spans="1:8" ht="15" customHeight="1" x14ac:dyDescent="0.35">
      <c r="A11" s="2" t="s">
        <v>193</v>
      </c>
      <c r="B11" s="10">
        <f>'Current State'!B10</f>
        <v>0</v>
      </c>
      <c r="C11" s="10">
        <f>'Current State'!C10</f>
        <v>-215000</v>
      </c>
      <c r="D11" s="10">
        <f>'Current State'!D10</f>
        <v>-450375</v>
      </c>
      <c r="E11" s="10">
        <f>'Current State'!E10</f>
        <v>-708884.375</v>
      </c>
      <c r="F11" s="10">
        <f>'Current State'!F10</f>
        <v>-993693.984375</v>
      </c>
      <c r="G11" s="10">
        <f>'Current State'!G10</f>
        <v>-1308436.958984375</v>
      </c>
    </row>
    <row r="12" spans="1:8" ht="15" customHeight="1" x14ac:dyDescent="0.35">
      <c r="A12" s="2" t="s">
        <v>194</v>
      </c>
      <c r="B12" s="10">
        <f>'EU Insource'!B21</f>
        <v>-371000</v>
      </c>
      <c r="C12" s="10">
        <f>'EU Insource'!C21</f>
        <v>-439480</v>
      </c>
      <c r="D12" s="10">
        <f>'EU Insource'!D21</f>
        <v>-509672</v>
      </c>
      <c r="E12" s="10">
        <f>'EU Insource'!E21</f>
        <v>-581618.80000000005</v>
      </c>
      <c r="F12" s="10">
        <f>'EU Insource'!F21</f>
        <v>-655364.27</v>
      </c>
      <c r="G12" s="10">
        <f>'EU Insource'!G21</f>
        <v>-730953.37675000005</v>
      </c>
    </row>
    <row r="13" spans="1:8" ht="15" customHeight="1" x14ac:dyDescent="0.35">
      <c r="A13" s="2" t="s">
        <v>195</v>
      </c>
      <c r="B13" s="10">
        <f>'China Insource'!B22</f>
        <v>-177000</v>
      </c>
      <c r="C13" s="10">
        <f>'China Insource'!C22</f>
        <v>-231880</v>
      </c>
      <c r="D13" s="10">
        <f>'China Insource'!D22</f>
        <v>-288132</v>
      </c>
      <c r="E13" s="10">
        <f>'China Insource'!E22</f>
        <v>-345790.3</v>
      </c>
      <c r="F13" s="10">
        <f>'China Insource'!F22</f>
        <v>-404890.0575</v>
      </c>
      <c r="G13" s="10">
        <f>'China Insource'!G22</f>
        <v>-465467.3089375</v>
      </c>
    </row>
    <row r="15" spans="1:8" ht="15" customHeight="1" x14ac:dyDescent="0.35">
      <c r="A15" s="5" t="s">
        <v>196</v>
      </c>
      <c r="B15" s="16"/>
      <c r="C15" s="16"/>
      <c r="D15" s="16"/>
      <c r="E15" s="16"/>
      <c r="F15" s="16"/>
      <c r="G15" s="16"/>
      <c r="H15" s="16"/>
    </row>
    <row r="16" spans="1:8" ht="15" customHeight="1" x14ac:dyDescent="0.35">
      <c r="A16" s="3" t="s">
        <v>197</v>
      </c>
      <c r="B16" s="13">
        <f t="shared" ref="B16:G16" si="0">B12-B11</f>
        <v>-371000</v>
      </c>
      <c r="C16" s="13">
        <f t="shared" si="0"/>
        <v>-224480</v>
      </c>
      <c r="D16" s="13">
        <f t="shared" si="0"/>
        <v>-59297</v>
      </c>
      <c r="E16" s="13">
        <f t="shared" si="0"/>
        <v>127265.57499999995</v>
      </c>
      <c r="F16" s="13">
        <f t="shared" si="0"/>
        <v>338329.71437499998</v>
      </c>
      <c r="G16" s="13">
        <f t="shared" si="0"/>
        <v>577483.58223437495</v>
      </c>
    </row>
    <row r="17" spans="1:8" ht="15" customHeight="1" x14ac:dyDescent="0.35">
      <c r="A17" s="3" t="s">
        <v>198</v>
      </c>
      <c r="B17" s="13">
        <f t="shared" ref="B17:G17" si="1">B13-B11</f>
        <v>-177000</v>
      </c>
      <c r="C17" s="13">
        <f t="shared" si="1"/>
        <v>-16880</v>
      </c>
      <c r="D17" s="13">
        <f t="shared" si="1"/>
        <v>162243</v>
      </c>
      <c r="E17" s="13">
        <f t="shared" si="1"/>
        <v>363094.07500000001</v>
      </c>
      <c r="F17" s="13">
        <f t="shared" si="1"/>
        <v>588803.926875</v>
      </c>
      <c r="G17" s="13">
        <f t="shared" si="1"/>
        <v>842969.650046875</v>
      </c>
    </row>
    <row r="20" spans="1:8" ht="15" customHeight="1" x14ac:dyDescent="0.35">
      <c r="A20" s="5" t="s">
        <v>199</v>
      </c>
      <c r="B20" s="16"/>
      <c r="C20" s="16"/>
      <c r="D20" s="16"/>
      <c r="E20" s="16"/>
      <c r="F20" s="16"/>
      <c r="G20" s="16"/>
      <c r="H20" s="16"/>
    </row>
    <row r="21" spans="1:8" ht="15" customHeight="1" x14ac:dyDescent="0.35">
      <c r="A21" s="3" t="s">
        <v>200</v>
      </c>
      <c r="B21" s="17">
        <f>IFERROR(MATCH(TRUE(),INDEX(B16:G16&gt;=0,0),0)-1,"&gt; 5 yrs")</f>
        <v>3</v>
      </c>
    </row>
    <row r="22" spans="1:8" ht="15" customHeight="1" x14ac:dyDescent="0.35">
      <c r="A22" s="3" t="s">
        <v>201</v>
      </c>
      <c r="B22" s="17">
        <f>IFERROR(MATCH(TRUE(),INDEX(B17:G17&gt;=0,0),0)-1,"&gt; 5 yrs")</f>
        <v>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showGridLines="0" zoomScaleNormal="100" workbookViewId="0">
      <selection sqref="A1:F1"/>
    </sheetView>
  </sheetViews>
  <sheetFormatPr defaultColWidth="8.7265625" defaultRowHeight="14.5" x14ac:dyDescent="0.35"/>
  <cols>
    <col min="1" max="1" width="44" customWidth="1"/>
    <col min="2" max="2" width="18" customWidth="1"/>
    <col min="3" max="3" width="45" customWidth="1"/>
  </cols>
  <sheetData>
    <row r="1" spans="1:6" ht="25.5" customHeight="1" x14ac:dyDescent="0.35">
      <c r="A1" s="28" t="s">
        <v>202</v>
      </c>
      <c r="B1" s="28"/>
      <c r="C1" s="28"/>
      <c r="D1" s="28"/>
      <c r="E1" s="28"/>
      <c r="F1" s="28"/>
    </row>
    <row r="3" spans="1:6" ht="15" customHeight="1" x14ac:dyDescent="0.35">
      <c r="A3" s="29" t="s">
        <v>203</v>
      </c>
      <c r="B3" s="29"/>
      <c r="C3" s="29"/>
      <c r="D3" s="29"/>
      <c r="E3" s="29"/>
      <c r="F3" s="29"/>
    </row>
    <row r="5" spans="1:6" ht="15" customHeight="1" x14ac:dyDescent="0.35">
      <c r="A5" s="7" t="s">
        <v>204</v>
      </c>
      <c r="B5" s="8" t="s">
        <v>40</v>
      </c>
      <c r="C5" s="7" t="s">
        <v>205</v>
      </c>
    </row>
    <row r="6" spans="1:6" ht="15" customHeight="1" x14ac:dyDescent="0.35">
      <c r="A6" s="2" t="s">
        <v>206</v>
      </c>
      <c r="B6" s="18">
        <f>Assumptions!$C$35</f>
        <v>8</v>
      </c>
      <c r="C6" s="6" t="s">
        <v>207</v>
      </c>
    </row>
    <row r="7" spans="1:6" ht="15" customHeight="1" x14ac:dyDescent="0.35">
      <c r="A7" s="2" t="s">
        <v>208</v>
      </c>
      <c r="B7" s="18">
        <f>Assumptions!$C$36</f>
        <v>5</v>
      </c>
      <c r="C7" s="6" t="s">
        <v>209</v>
      </c>
    </row>
    <row r="8" spans="1:6" ht="15" customHeight="1" x14ac:dyDescent="0.35">
      <c r="A8" s="3" t="s">
        <v>210</v>
      </c>
      <c r="B8" s="19">
        <f>B6*B7</f>
        <v>40</v>
      </c>
    </row>
    <row r="9" spans="1:6" ht="15" customHeight="1" x14ac:dyDescent="0.35">
      <c r="A9" s="2" t="s">
        <v>211</v>
      </c>
      <c r="B9" s="10">
        <f>Assumptions!$C$37</f>
        <v>4000</v>
      </c>
      <c r="C9" s="6" t="s">
        <v>212</v>
      </c>
    </row>
    <row r="10" spans="1:6" ht="15" customHeight="1" x14ac:dyDescent="0.35">
      <c r="A10" s="3" t="s">
        <v>213</v>
      </c>
      <c r="B10" s="14">
        <f>B8*B9</f>
        <v>160000</v>
      </c>
    </row>
    <row r="12" spans="1:6" ht="15" customHeight="1" x14ac:dyDescent="0.35">
      <c r="A12" s="2" t="s">
        <v>214</v>
      </c>
      <c r="B12" s="20">
        <f>Assumptions!$C$39</f>
        <v>0.7</v>
      </c>
      <c r="C12" s="6" t="s">
        <v>215</v>
      </c>
    </row>
    <row r="13" spans="1:6" ht="15" customHeight="1" x14ac:dyDescent="0.35">
      <c r="A13" s="3" t="s">
        <v>216</v>
      </c>
      <c r="B13" s="21">
        <f>B10*B12</f>
        <v>112000</v>
      </c>
    </row>
    <row r="15" spans="1:6" ht="15" customHeight="1" x14ac:dyDescent="0.35">
      <c r="A15" s="2" t="s">
        <v>217</v>
      </c>
      <c r="B15" s="20">
        <f>Assumptions!$C$38</f>
        <v>0.2</v>
      </c>
    </row>
    <row r="16" spans="1:6" ht="15" customHeight="1" x14ac:dyDescent="0.35">
      <c r="A16" s="3" t="s">
        <v>218</v>
      </c>
      <c r="B16" s="21">
        <f>B13*B15</f>
        <v>22400</v>
      </c>
    </row>
    <row r="18" spans="1:3" ht="15" customHeight="1" x14ac:dyDescent="0.35">
      <c r="A18" s="11" t="s">
        <v>219</v>
      </c>
      <c r="B18" s="12">
        <f>B13+B17*5</f>
        <v>112000</v>
      </c>
      <c r="C18" s="6" t="s">
        <v>220</v>
      </c>
    </row>
    <row r="19" spans="1:3" ht="15" customHeight="1" x14ac:dyDescent="0.35">
      <c r="A19" t="s">
        <v>221</v>
      </c>
    </row>
  </sheetData>
  <mergeCells count="2">
    <mergeCell ref="A1:F1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showGridLines="0" zoomScaleNormal="100" workbookViewId="0">
      <selection sqref="A1:H1"/>
    </sheetView>
  </sheetViews>
  <sheetFormatPr defaultColWidth="8.7265625" defaultRowHeight="14.5" x14ac:dyDescent="0.35"/>
  <cols>
    <col min="1" max="1" width="22" customWidth="1"/>
    <col min="2" max="2" width="28" customWidth="1"/>
    <col min="3" max="3" width="32" customWidth="1"/>
    <col min="4" max="4" width="18" customWidth="1"/>
    <col min="5" max="5" width="20" customWidth="1"/>
    <col min="6" max="6" width="50" customWidth="1"/>
  </cols>
  <sheetData>
    <row r="1" spans="1:8" ht="25.5" customHeight="1" x14ac:dyDescent="0.35">
      <c r="A1" s="28" t="s">
        <v>222</v>
      </c>
      <c r="B1" s="28"/>
      <c r="C1" s="28"/>
      <c r="D1" s="28"/>
      <c r="E1" s="28"/>
      <c r="F1" s="28"/>
      <c r="G1" s="28"/>
      <c r="H1" s="28"/>
    </row>
    <row r="3" spans="1:8" ht="15" customHeight="1" x14ac:dyDescent="0.35">
      <c r="A3" s="29" t="s">
        <v>223</v>
      </c>
      <c r="B3" s="29"/>
      <c r="C3" s="29"/>
      <c r="D3" s="29"/>
      <c r="E3" s="29"/>
      <c r="F3" s="29"/>
      <c r="G3" s="29"/>
      <c r="H3" s="29"/>
    </row>
    <row r="5" spans="1:8" ht="15" customHeight="1" x14ac:dyDescent="0.35">
      <c r="A5" s="8" t="s">
        <v>224</v>
      </c>
      <c r="B5" s="8" t="s">
        <v>225</v>
      </c>
      <c r="C5" s="8" t="s">
        <v>226</v>
      </c>
      <c r="D5" s="8" t="s">
        <v>227</v>
      </c>
      <c r="E5" s="8" t="s">
        <v>228</v>
      </c>
      <c r="F5" s="8" t="s">
        <v>229</v>
      </c>
    </row>
    <row r="6" spans="1:8" ht="15" customHeight="1" x14ac:dyDescent="0.35">
      <c r="A6" s="2" t="s">
        <v>230</v>
      </c>
      <c r="B6" s="6" t="s">
        <v>231</v>
      </c>
      <c r="C6" s="6" t="s">
        <v>232</v>
      </c>
      <c r="D6" s="22"/>
      <c r="E6" s="22"/>
      <c r="F6" s="6" t="s">
        <v>233</v>
      </c>
    </row>
    <row r="7" spans="1:8" ht="15" customHeight="1" x14ac:dyDescent="0.35">
      <c r="A7" s="2" t="s">
        <v>234</v>
      </c>
      <c r="B7" s="6" t="s">
        <v>235</v>
      </c>
      <c r="C7" s="6" t="s">
        <v>232</v>
      </c>
      <c r="D7" s="22"/>
      <c r="E7" s="22"/>
      <c r="F7" s="6" t="s">
        <v>236</v>
      </c>
    </row>
    <row r="8" spans="1:8" ht="15" customHeight="1" x14ac:dyDescent="0.35">
      <c r="A8" s="2" t="s">
        <v>237</v>
      </c>
      <c r="B8" s="6" t="s">
        <v>238</v>
      </c>
      <c r="C8" s="6" t="s">
        <v>232</v>
      </c>
      <c r="D8" s="22"/>
      <c r="E8" s="22"/>
      <c r="F8" s="6" t="s">
        <v>239</v>
      </c>
    </row>
    <row r="9" spans="1:8" ht="15" customHeight="1" x14ac:dyDescent="0.35">
      <c r="A9" s="2" t="s">
        <v>240</v>
      </c>
      <c r="B9" s="6" t="s">
        <v>241</v>
      </c>
      <c r="C9" s="6" t="s">
        <v>242</v>
      </c>
      <c r="D9" s="22"/>
      <c r="E9" s="22"/>
      <c r="F9" s="6"/>
    </row>
    <row r="10" spans="1:8" ht="15" customHeight="1" x14ac:dyDescent="0.35">
      <c r="A10" s="2" t="s">
        <v>243</v>
      </c>
      <c r="B10" s="6" t="s">
        <v>241</v>
      </c>
      <c r="C10" s="6" t="s">
        <v>244</v>
      </c>
      <c r="D10" s="22"/>
      <c r="E10" s="22"/>
      <c r="F10" s="6"/>
    </row>
    <row r="11" spans="1:8" ht="15" customHeight="1" x14ac:dyDescent="0.35">
      <c r="A11" s="2" t="s">
        <v>245</v>
      </c>
      <c r="B11" s="6" t="s">
        <v>241</v>
      </c>
      <c r="C11" s="6" t="s">
        <v>232</v>
      </c>
      <c r="D11" s="22"/>
      <c r="E11" s="22"/>
      <c r="F11" s="6" t="s">
        <v>246</v>
      </c>
    </row>
    <row r="12" spans="1:8" ht="15" customHeight="1" x14ac:dyDescent="0.35">
      <c r="A12" s="2" t="s">
        <v>247</v>
      </c>
      <c r="B12" s="6" t="s">
        <v>241</v>
      </c>
      <c r="C12" s="6" t="s">
        <v>232</v>
      </c>
      <c r="D12" s="22"/>
      <c r="E12" s="22"/>
      <c r="F12" s="6" t="s">
        <v>248</v>
      </c>
    </row>
  </sheetData>
  <mergeCells count="2">
    <mergeCell ref="A1:H1"/>
    <mergeCell ref="A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showGridLines="0" zoomScaleNormal="100" workbookViewId="0">
      <selection activeCell="D9" sqref="D9"/>
    </sheetView>
  </sheetViews>
  <sheetFormatPr defaultColWidth="8.7265625" defaultRowHeight="14.5" x14ac:dyDescent="0.35"/>
  <cols>
    <col min="1" max="1" width="40" customWidth="1"/>
    <col min="2" max="4" width="22" customWidth="1"/>
  </cols>
  <sheetData>
    <row r="1" spans="1:6" ht="27.75" customHeight="1" x14ac:dyDescent="0.35">
      <c r="A1" s="28" t="s">
        <v>249</v>
      </c>
      <c r="B1" s="28"/>
      <c r="C1" s="28"/>
      <c r="D1" s="28"/>
      <c r="E1" s="28"/>
      <c r="F1" s="28"/>
    </row>
    <row r="3" spans="1:6" ht="15" customHeight="1" x14ac:dyDescent="0.35">
      <c r="A3" s="6" t="s">
        <v>250</v>
      </c>
    </row>
    <row r="5" spans="1:6" ht="15" customHeight="1" x14ac:dyDescent="0.35">
      <c r="A5" s="7" t="s">
        <v>251</v>
      </c>
      <c r="B5" s="8" t="s">
        <v>252</v>
      </c>
      <c r="C5" s="8" t="s">
        <v>25</v>
      </c>
      <c r="D5" s="8" t="s">
        <v>27</v>
      </c>
    </row>
    <row r="6" spans="1:6" ht="15" customHeight="1" x14ac:dyDescent="0.35">
      <c r="A6" s="3" t="s">
        <v>253</v>
      </c>
      <c r="B6" s="9">
        <v>0</v>
      </c>
      <c r="C6" s="10">
        <f>'EU Insource'!B11</f>
        <v>-371000</v>
      </c>
      <c r="D6" s="10">
        <f>'China Insource'!B12</f>
        <v>-177000</v>
      </c>
    </row>
    <row r="7" spans="1:6" ht="15" customHeight="1" x14ac:dyDescent="0.35">
      <c r="A7" s="3" t="s">
        <v>254</v>
      </c>
      <c r="B7" s="10">
        <f>'Current State'!G10</f>
        <v>-1308436.958984375</v>
      </c>
      <c r="C7" s="10">
        <f>'EU Insource'!G21</f>
        <v>-730953.37675000005</v>
      </c>
      <c r="D7" s="10">
        <f>'China Insource'!G22</f>
        <v>-465467.3089375</v>
      </c>
    </row>
    <row r="8" spans="1:6" ht="15" customHeight="1" x14ac:dyDescent="0.35">
      <c r="A8" s="3" t="s">
        <v>255</v>
      </c>
      <c r="B8" s="23" t="s">
        <v>256</v>
      </c>
      <c r="C8" s="24">
        <f>'TCO Comparison'!G16</f>
        <v>577483.58223437495</v>
      </c>
      <c r="D8" s="24">
        <f>'TCO Comparison'!G17</f>
        <v>842969.650046875</v>
      </c>
    </row>
    <row r="9" spans="1:6" ht="15" customHeight="1" x14ac:dyDescent="0.35">
      <c r="A9" s="3" t="s">
        <v>257</v>
      </c>
      <c r="B9" s="23" t="s">
        <v>258</v>
      </c>
      <c r="C9" s="25">
        <f>'TCO Comparison'!B21</f>
        <v>3</v>
      </c>
      <c r="D9" s="25">
        <f>'TCO Comparison'!B22</f>
        <v>2</v>
      </c>
    </row>
    <row r="11" spans="1:6" ht="15" customHeight="1" x14ac:dyDescent="0.35">
      <c r="A11" s="15" t="s">
        <v>259</v>
      </c>
      <c r="B11" s="26">
        <f>'Working Capital'!B13</f>
        <v>112000</v>
      </c>
      <c r="C11" s="31" t="s">
        <v>260</v>
      </c>
      <c r="D11" s="31"/>
    </row>
    <row r="14" spans="1:6" ht="15" customHeight="1" x14ac:dyDescent="0.35">
      <c r="A14" s="27" t="s">
        <v>261</v>
      </c>
      <c r="B14" s="27"/>
      <c r="C14" s="27"/>
      <c r="D14" s="27"/>
    </row>
    <row r="15" spans="1:6" ht="15" customHeight="1" x14ac:dyDescent="0.35">
      <c r="A15" s="30" t="s">
        <v>262</v>
      </c>
      <c r="B15" s="30"/>
      <c r="C15" s="30"/>
      <c r="D15" s="30"/>
    </row>
    <row r="16" spans="1:6" ht="15" customHeight="1" x14ac:dyDescent="0.35">
      <c r="A16" s="30" t="s">
        <v>263</v>
      </c>
      <c r="B16" s="30"/>
      <c r="C16" s="30"/>
      <c r="D16" s="30"/>
    </row>
    <row r="17" spans="1:4" ht="15" customHeight="1" x14ac:dyDescent="0.35">
      <c r="A17" s="30" t="s">
        <v>264</v>
      </c>
      <c r="B17" s="30"/>
      <c r="C17" s="30"/>
      <c r="D17" s="30"/>
    </row>
    <row r="18" spans="1:4" ht="15" customHeight="1" x14ac:dyDescent="0.35">
      <c r="A18" s="30" t="s">
        <v>265</v>
      </c>
      <c r="B18" s="30"/>
      <c r="C18" s="30"/>
      <c r="D18" s="30"/>
    </row>
    <row r="19" spans="1:4" ht="15" customHeight="1" x14ac:dyDescent="0.35">
      <c r="A19" s="30" t="s">
        <v>266</v>
      </c>
      <c r="B19" s="30"/>
      <c r="C19" s="30"/>
      <c r="D19" s="30"/>
    </row>
  </sheetData>
  <mergeCells count="8">
    <mergeCell ref="A17:D17"/>
    <mergeCell ref="A18:D18"/>
    <mergeCell ref="A19:D19"/>
    <mergeCell ref="A1:F1"/>
    <mergeCell ref="C11:D11"/>
    <mergeCell ref="A14:D14"/>
    <mergeCell ref="A15:D15"/>
    <mergeCell ref="A16:D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Assumptions</vt:lpstr>
      <vt:lpstr>Current State</vt:lpstr>
      <vt:lpstr>EU Insource</vt:lpstr>
      <vt:lpstr>China Insource</vt:lpstr>
      <vt:lpstr>TCO Comparison</vt:lpstr>
      <vt:lpstr>Working Capital</vt:lpstr>
      <vt:lpstr>Sensitivity</vt:lpstr>
      <vt:lpstr>Executive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Dixon, Henry</cp:lastModifiedBy>
  <cp:revision>0</cp:revision>
  <dcterms:created xsi:type="dcterms:W3CDTF">2026-05-25T11:30:59Z</dcterms:created>
  <dcterms:modified xsi:type="dcterms:W3CDTF">2026-05-25T12:02:37Z</dcterms:modified>
  <cp:category/>
  <cp:contentStatus/>
</cp:coreProperties>
</file>